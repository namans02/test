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821"/>
  <workbookPr autoCompressPictures="0"/>
  <mc:AlternateContent xmlns:mc="http://schemas.openxmlformats.org/markup-compatibility/2006">
    <mc:Choice Requires="x15">
      <x15ac:absPath xmlns:x15ac="http://schemas.microsoft.com/office/spreadsheetml/2010/11/ac" url="C:\Users\220034\Desktop\Academy\PB refinement\"/>
    </mc:Choice>
  </mc:AlternateContent>
  <xr:revisionPtr revIDLastSave="4" documentId="11_D9C15A3917FADCE635B1122EACC40C469D3EBB10" xr6:coauthVersionLast="45" xr6:coauthVersionMax="45" xr10:uidLastSave="{9C672F78-25A4-4B60-849D-839506DDE2A1}"/>
  <bookViews>
    <workbookView xWindow="0" yWindow="0" windowWidth="20490" windowHeight="7620" firstSheet="2" xr2:uid="{00000000-000D-0000-FFFF-FFFF00000000}"/>
  </bookViews>
  <sheets>
    <sheet name="Cover Page" sheetId="7" r:id="rId1"/>
    <sheet name="Instructions" sheetId="8" r:id="rId2"/>
    <sheet name="Backlog" sheetId="1" r:id="rId3"/>
    <sheet name="Charts" sheetId="9" r:id="rId4"/>
    <sheet name="Sheet1" sheetId="5" state="hidden" r:id="rId5"/>
  </sheets>
  <externalReferences>
    <externalReference r:id="rId6"/>
    <externalReference r:id="rId7"/>
    <externalReference r:id="rId8"/>
    <externalReference r:id="rId9"/>
  </externalReferences>
  <definedNames>
    <definedName name="_xlnm._FilterDatabase" localSheetId="2" hidden="1">Backlog!$A$3:$N$28</definedName>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91028"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7" i="9" l="1"/>
  <c r="D7" i="9"/>
  <c r="G7" i="9" s="1"/>
  <c r="G6" i="9"/>
  <c r="F6" i="9"/>
  <c r="E6" i="9"/>
  <c r="D8" i="9"/>
  <c r="E8" i="9"/>
  <c r="F7" i="9" l="1"/>
  <c r="F8" i="9"/>
  <c r="G8" i="9"/>
</calcChain>
</file>

<file path=xl/sharedStrings.xml><?xml version="1.0" encoding="utf-8"?>
<sst xmlns="http://schemas.openxmlformats.org/spreadsheetml/2006/main" count="227" uniqueCount="170">
  <si>
    <t xml:space="preserve">Airport Management System </t>
  </si>
  <si>
    <t>Product Backlog</t>
  </si>
  <si>
    <t>Prepared By / Last Updated By</t>
  </si>
  <si>
    <t>Reviewed By</t>
  </si>
  <si>
    <t>Approved By</t>
  </si>
  <si>
    <t>Name</t>
  </si>
  <si>
    <t>Academy Project Solutions</t>
  </si>
  <si>
    <t>Role</t>
  </si>
  <si>
    <t>Signature</t>
  </si>
  <si>
    <t>Date</t>
  </si>
  <si>
    <t>Release ID: QTAD-PBL / 2.0.0 / 30-Mar-2015</t>
  </si>
  <si>
    <t>C3: Protected</t>
  </si>
  <si>
    <r>
      <t xml:space="preserve">Product Backlog                               Instructions
</t>
    </r>
    <r>
      <rPr>
        <sz val="9"/>
        <color indexed="23"/>
        <rFont val="Arial"/>
        <family val="2"/>
      </rPr>
      <t xml:space="preserve">                        C3: Protected          Controlled Copy</t>
    </r>
  </si>
  <si>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</si>
  <si>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</si>
  <si>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</si>
  <si>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</si>
  <si>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</si>
  <si>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</si>
  <si>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</si>
  <si>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</si>
  <si>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t xml:space="preserve">&lt; Provide who would be end User  of the User story&gt;. 
Details of who would use that functionality
Eg:End User
Admin
Teacher
</t>
    </r>
    <r>
      <rPr>
        <sz val="10"/>
        <color theme="4" tint="-0.249977111117893"/>
        <rFont val="Arial"/>
        <family val="2"/>
      </rPr>
      <t>Conference attendee</t>
    </r>
  </si>
  <si>
    <t>User Story Details</t>
  </si>
  <si>
    <r>
      <t xml:space="preserve">&lt;Provide description of  what the User want&gt;
Provide details on "As a/an" particular user what the user wants.
Eg: </t>
    </r>
    <r>
      <rPr>
        <sz val="10"/>
        <color theme="4" tint="-0.249977111117893"/>
        <rFont val="Arial"/>
        <family val="2"/>
      </rPr>
      <t>As a conference attendee, I want to be able to register online</t>
    </r>
  </si>
  <si>
    <t>Acceptance criteria</t>
  </si>
  <si>
    <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family val="2"/>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</si>
  <si>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</si>
  <si>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</si>
  <si>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</si>
  <si>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</si>
  <si>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</si>
  <si>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</si>
  <si>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</si>
  <si>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</si>
  <si>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</si>
  <si>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</si>
  <si>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</si>
  <si>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</si>
  <si>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</si>
  <si>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</si>
  <si>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</si>
  <si>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</si>
  <si>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</si>
  <si>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</si>
  <si>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</si>
  <si>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</si>
  <si>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</si>
  <si>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</si>
  <si>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</si>
  <si>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r>
      <t xml:space="preserve"> Product Backlog                             Airport Management System 
 </t>
    </r>
    <r>
      <rPr>
        <sz val="9"/>
        <color indexed="23"/>
        <rFont val="Arial"/>
        <family val="2"/>
      </rPr>
      <t>Project ID:A007                               C3: Protected          Controlled Copy</t>
    </r>
  </si>
  <si>
    <t>User Story Id</t>
  </si>
  <si>
    <t>Priority</t>
  </si>
  <si>
    <t>Story Point</t>
  </si>
  <si>
    <t>US_1</t>
  </si>
  <si>
    <t>Initial Selection</t>
  </si>
  <si>
    <t>All Users</t>
  </si>
  <si>
    <t>As User I want the system to allow the user to choose Admin / Manager / pilot Login/Registration</t>
  </si>
  <si>
    <t xml:space="preserve">1-Screen should display the option for Admin login / Registration and Manager login / Registration and 
Pilot login / Registration
</t>
  </si>
  <si>
    <t>Critical</t>
  </si>
  <si>
    <t>US_2</t>
  </si>
  <si>
    <t>Employee Registration</t>
  </si>
  <si>
    <t>Employee</t>
  </si>
  <si>
    <t>As Employee I want the system to procure the fundamental details of the Manager</t>
  </si>
  <si>
    <t xml:space="preserve">1-When the Employee clicks on the registration link, it should re-direct to registration form.
2-Employee needs to fill some of the basic attributes/fields as mentioned below in requirement: First Name, Last Name, DOB, Gender, Contact Number, Employee Id, Password etc.
Employee id - should be auto generated
DOB should selected from a drop down calendar
Validation - Age should not be less than 18 should be checked.
Contact number - 10 digits
password-  min length of 6 with special characters should be incorporated.
Employee designation should be field with 2 role - Manage, Pilot. Use Radio button/Checkbox/drop down to select the option.
3-Before entering the next field, each field should be validated and appropriate error message should be displayed near the corresponding text box.
4-Employee failing to provide information on the mandatory fields be provided with an alert message – ‘Please update the highlighted mandatory field(s).’ Also, highlight the missed out field in red
5-Post-successful field level validation, save the information in the database
6-Upon saving the information in the database, display the message ‘Your details are submitted successfully’.
7-Admin should be able to view the New Managers  registration
8-Admin should approve / reject the Manager Request.
9-If rejected, the Manager should not be allowed to login with the registered credentials
10-Manager should be notified upon approval/rejection while trying to enter the application.
</t>
  </si>
  <si>
    <t>US_3</t>
  </si>
  <si>
    <t>Employee Authentication</t>
  </si>
  <si>
    <t>As Employee I want the system to authenticate the Manager credentials of the registered Manager.</t>
  </si>
  <si>
    <t>A registered Employee – is able click ‘Login’ link, after keying in ‘Employee ID’ &amp; ‘Password’ field and get his credentials authenticated with the existing database entry.</t>
  </si>
  <si>
    <t>US_4</t>
  </si>
  <si>
    <t>Admin Authentication</t>
  </si>
  <si>
    <t>Admin</t>
  </si>
  <si>
    <t>As Admin I want the system to authenticate the credentials of the registered Admin.</t>
  </si>
  <si>
    <t>1- Admin User id and password can be preloaded in the database and use it to login into the system.
2- On keying in ‘Admin ID’ &amp; ‘Password’ field and get his credentials authenticated with the existing database entry.</t>
  </si>
  <si>
    <t>US_5</t>
  </si>
  <si>
    <t>View registration request</t>
  </si>
  <si>
    <t>As Admin I want  the system to allow Admin to view the registration request</t>
  </si>
  <si>
    <t>1-Admin should be able to view the registration request awaiting approval</t>
  </si>
  <si>
    <t>US_6</t>
  </si>
  <si>
    <t>Approve / Deny manager  registration</t>
  </si>
  <si>
    <t>As Admin I want  the system to allow admin to approve or deny the registration request.</t>
  </si>
  <si>
    <t xml:space="preserve">1-Admin should be able to approve or deny the registration request.
2-Upon approval, Manager should be able to log in successfully.
3-Upon denial, message - "Your Registration is denied by Admin"  should be display when they tried to log in.
</t>
  </si>
  <si>
    <t>Medium</t>
  </si>
  <si>
    <t>US_7</t>
  </si>
  <si>
    <t>Add planes / update planes</t>
  </si>
  <si>
    <t>As Admin I want to add/ update plane details.</t>
  </si>
  <si>
    <t xml:space="preserve">1-On clicking “Add Planes”, it should redirect to the page to add Plane.
2-Admin should be able to update the mandatory fields of the Planes. Plane id, Model number, Purchase date, Last serviced date etc can be fields.
Note - Trainees can add more fields as appropriate. Use drop downs, radio buttons, check box options wherever applicable.
3-Clicking ‘Submit’ should validate the datatype constraints for each field
4-Admin failing to provide information on the mandatory fields be provided with an alert message – ‘Please update the highlighted mandatory field(s).’ Also, highlight the missed out field in red
5-Post-successful field level validation, save the information in the database
6-Upon saving the information in the database, display the message ‘Your details are submitted successfully’.
7-Admin should be able to view the list of planes by clicking “View Planes” link.
8-On clicking the Plane ID, the system should display the details of the planes. Plane Id should be used as primary key the DB and should not be editable.
9-Admin should be able to update the details of the plane on clicking “Update details” button
10-On clicking “Save” button, the updated details should be saved to the database. Upon saving the information in the database, display the message ‘Your details are submitted successfully’.
</t>
  </si>
  <si>
    <t>US_8</t>
  </si>
  <si>
    <t>Update Flight Plan</t>
  </si>
  <si>
    <t>Pilot</t>
  </si>
  <si>
    <t>As Pilot I want the system to allow Pilot to update the flight plan.</t>
  </si>
  <si>
    <t>1-Pilot on clicking Update Flight Plan should be redirected to the Flight Plan update page.
2-Pilot should update mandatory fields - departure location, waypoints, estimated time of arrival, destination location, alternate airports, aircraft information, and the pilot’s information.
3-Clicking ‘Submit’ should validate the datatype constraints for each field
4-Pilot failing to provide information on the mandatory fields be provided with an alert message – ‘Please update the highlighted mandatory field(s).’ Also, highlight the missed out field in red
5-Post-successful field level validation, save the information in the database
6-Upon saving the information in the database, display the message ‘Your details are submitted successfully’.
Note - Learn about airport management to get to know on the different terminologies used in the Airport management system.</t>
  </si>
  <si>
    <t>US_9</t>
  </si>
  <si>
    <t>Update Pre-flight mode</t>
  </si>
  <si>
    <t>As Pilot I want  the system to gather information necessary to enter flight mode.</t>
  </si>
  <si>
    <t>1-Pilot should be able to update the pre flight mode checklist.
2- On clicking the Pre flight mode tab, all the flight that requires pre flight check should be displayed.
3-On clicking the flight the pilot want to update, it should open the checklist form.
4- Pilot should update the checklist
5-Manager/Pilot should be able to view it
https://ardupilot.org/copter/docs/checklist.html   
Few checklist questions can be taken from this website.</t>
  </si>
  <si>
    <t>US_10</t>
  </si>
  <si>
    <t>Update Post-flight mode</t>
  </si>
  <si>
    <t>As Pilot I want system to gather information during flight mode. It should display the information regarding future flights.</t>
  </si>
  <si>
    <t xml:space="preserve">1-Pilot should be able to update the post flight mode checklist.
2- On clicking the post flight mode tab, all the flight that requires post flight check should be displayed.
3-On clicking the flight the pilot want to update, it should open the checklist form.
4- Pilot should update the checklist
5-Manager/Pilot should be able to view it
https://www.flyingmag.com/technique/tip-week/post-flight-procedures/     
Check this to know more about Post flight procedure
</t>
  </si>
  <si>
    <t>US_11</t>
  </si>
  <si>
    <t>Update Resources</t>
  </si>
  <si>
    <t>As Admin I want the system to update the Waypoints, maps, and routes.</t>
  </si>
  <si>
    <t xml:space="preserve">1-Admin should be able to update the Resource details which is required for the pilot.
2-Admin should be able to update the Waypoints, maps, and routes.
Waypoint - A stopping point that is along a route in which a set of coordinates identify a point.
Route - Collection of waypoints with a departure and a destination airport.
</t>
  </si>
  <si>
    <t>US_12</t>
  </si>
  <si>
    <t>Target Generation Facility</t>
  </si>
  <si>
    <t>As Pilot I want to know information about current flights or registered flight plans.</t>
  </si>
  <si>
    <t>1-Pilot should be able to get information about current flights or registered flight plans.</t>
  </si>
  <si>
    <t>US_13</t>
  </si>
  <si>
    <t>Add pilots work schedule</t>
  </si>
  <si>
    <t>As Admin I want the system to add pilot’s work schedule details.</t>
  </si>
  <si>
    <t>1-Admin should be able to add pilot’s work schedule details.</t>
  </si>
  <si>
    <t>US_14</t>
  </si>
  <si>
    <t>View schedule</t>
  </si>
  <si>
    <t>As Pilot I want  to view the schedule</t>
  </si>
  <si>
    <t xml:space="preserve">1-Pilot on clicking view the schedule should redirect to the Pilot schedule page
2-The page should display the Pilots schedule. Pilot should have the option to view that days schedule, Weekly schedule and the schedule for the month.
</t>
  </si>
  <si>
    <t>US_15</t>
  </si>
  <si>
    <t>Request rescheduling</t>
  </si>
  <si>
    <t>As pilot I want  to reschedule my work time.</t>
  </si>
  <si>
    <t>1-Pilot should be able to raise a request for rescheduling the work schedule if required.</t>
  </si>
  <si>
    <t>low</t>
  </si>
  <si>
    <t>US_16</t>
  </si>
  <si>
    <t>View / approve rescheduling request</t>
  </si>
  <si>
    <t>As Admin I want  to view and approve the rescheduling request.</t>
  </si>
  <si>
    <t xml:space="preserve">1-Admin should be able to view the reschedule request from the pilot.
2-On clicking each request ID, it should display the details.
3-Admin should be able to approve / deny the request.
</t>
  </si>
  <si>
    <t>US_17</t>
  </si>
  <si>
    <t>Update schedule</t>
  </si>
  <si>
    <t>As Admin I want to update pilot’s work schedule details.</t>
  </si>
  <si>
    <t>1-Upon approval, Admin should be able to update pilot’s work schedule details.</t>
  </si>
  <si>
    <t>US_18</t>
  </si>
  <si>
    <t>Add Hangars</t>
  </si>
  <si>
    <t>As Admin I want to add Hangar details.
A hangar is a closed building structure to hold aircraft or spacecraft. ... Hangars are used for protection from the weather, direct sunlight and for maintenance, repair, manufacture, assembly and storage of aircraft.</t>
  </si>
  <si>
    <t xml:space="preserve">1-On clicking “Add Hangars”, it should redirect to the page to add Plane.
2-Admin should be able to update the mandatory fields of the Hangars
3-Clicking ‘Submit’ should validate the datatype constraints for each field
4-Admin failing to provide information on the mandatory fields be provided with an alert message – ‘Please update the highlighted mandatory field(s).’ Also, highlight the missed out field in red
5-Post-successful field level validation, save the information in the database
6-Upon saving the information in the database, display the message ‘Your details are submitted successfully’.
7-Admin should be able to view the list of Hangars by clicking “View Hangars” link.
8-On clicking the Plane ID, the system should display the details of the Hangars.
9-Admin should be able to update the details of the plan on clicking “Update details” button
10-On clicking “Save” button, the updated details should be saved to the database. Upon saving the information in the database, display the message ‘Your details are submitted successfully’.
</t>
  </si>
  <si>
    <t>US_19</t>
  </si>
  <si>
    <t xml:space="preserve">Allotting planes to the Hangar </t>
  </si>
  <si>
    <t>Manager</t>
  </si>
  <si>
    <t>As Manager I want  to allot planes to Hangar.</t>
  </si>
  <si>
    <t xml:space="preserve">1-When Manager clicks Allot Hangar, the system should display the list of Hangars available and the list of planes waiting for hanger
2-Manager should have the option to select the available hangar and allot it for a plane
</t>
  </si>
  <si>
    <t>US_20</t>
  </si>
  <si>
    <t>Update Hangar status</t>
  </si>
  <si>
    <t>As Manager I want  to update the Hangar details.</t>
  </si>
  <si>
    <t>1-After allotting Manager should update the status as Available / Allotted
2-Manager on clicking “View Hangar Status”, the page should display the list of all Hangars with status</t>
  </si>
  <si>
    <t>US_21</t>
  </si>
  <si>
    <t>View Hangar Status</t>
  </si>
  <si>
    <t>Admin/Pilot</t>
  </si>
  <si>
    <t>As Admin/Pilot I want  to  view the Hangar details.</t>
  </si>
  <si>
    <t xml:space="preserve">1-Admin on clicking Reports should redirect to the reporting page.
2-It should display drop down Pilot schedule, Hanger allotment, Plane details.
3-On selecting Pilot schedule, it should display the Pilots work schedule.
4-On clicking Hanger allotment, should display all the available Hangers and the allotment details
5-On clicking Plane details., should display all the available Planes and the details
</t>
  </si>
  <si>
    <t>US_22</t>
  </si>
  <si>
    <t>Generate Report</t>
  </si>
  <si>
    <t>As Admin I want to generate report on Pilot schedule, Hanger allotment, Plane details.</t>
  </si>
  <si>
    <t xml:space="preserve">1-During registration, System should pop up three secret questions for Password recovery.
2-When the user clicks Forgot User ID, system should ask for the secret questions. On answering the questions correctly, the User ID should be displayed.
</t>
  </si>
  <si>
    <t>US_23</t>
  </si>
  <si>
    <t>Other validations</t>
  </si>
  <si>
    <t>As Admin I want the system to have validations like Forget User ID, Forget Password</t>
  </si>
  <si>
    <t>1-When the user clicks Forgot Password, system should ask for the User ID and secret questions.
Email id and contact number can also be used along with the secret questions to uniquely identify the User as Same answers can be given by many users 
2-On answering the questions correctly, the password reset page should be displayed.
3-On entering the details in the password reset page, password should be validated
4-On clicking Submit, the details should be saved to the Database</t>
  </si>
  <si>
    <t>US_24</t>
  </si>
  <si>
    <t>Help</t>
  </si>
  <si>
    <t>As Admin I want Page to assist the users to report technical issues</t>
  </si>
  <si>
    <t xml:space="preserve">1-Page to display a form that allows user to report the technical issues.
Issue
Description
Send Button
Portal to display the Contact number to report issues
User should be able to raise the help and managers should be able to answer the query
</t>
  </si>
  <si>
    <t>US_25</t>
  </si>
  <si>
    <t>Manager / Admin logoff</t>
  </si>
  <si>
    <t>Ability of the system to enable Manager / Admin to logoff</t>
  </si>
  <si>
    <t>1-Option to log off from the system.</t>
  </si>
  <si>
    <t>Release Burndown</t>
  </si>
  <si>
    <t>Only edit shaded columns, others are calculated</t>
  </si>
  <si>
    <t>Story points</t>
  </si>
  <si>
    <t>Min</t>
  </si>
  <si>
    <t>Max</t>
  </si>
  <si>
    <t>Remaining</t>
  </si>
  <si>
    <t>Yes</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</si>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</sst>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
  </numFmts>
  <fonts count="27">
    <font>
      <sz val="11"/>
      <color theme="1"/>
      <name val="Calibri"/>
      <family val="2"/>
      <scheme val="minor"/>
    </font>
    <font>
      <sz val="9"/>
      <color theme="1"/>
      <name val="Arial"/>
      <family val="2"/>
    </font>
    <font>
      <u/>
      <sz val="11"/>
      <color theme="10"/>
      <name val="Calibri"/>
      <family val="2"/>
      <scheme val="minor"/>
    </font>
    <font>
      <u/>
      <sz val="11"/>
      <color theme="11"/>
      <name val="Calibri"/>
      <family val="2"/>
      <scheme val="minor"/>
    </font>
    <font>
      <sz val="20"/>
      <color theme="1"/>
      <name val="Arial"/>
      <family val="2"/>
    </font>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name val="Arial"/>
      <family val="2"/>
    </font>
    <font>
      <sz val="10"/>
      <name val="Arial"/>
      <family val="2"/>
    </font>
    <font>
      <i/>
      <sz val="10"/>
      <name val="Arial"/>
      <family val="2"/>
    </font>
    <font>
      <b/>
      <sz val="10"/>
      <name val="Arial"/>
      <family val="2"/>
    </font>
    <font>
      <b/>
      <i/>
      <sz val="10"/>
      <name val="Arial"/>
      <family val="2"/>
    </font>
    <font>
      <sz val="9"/>
      <color indexed="23"/>
      <name val="Arial"/>
      <family val="2"/>
    </font>
    <font>
      <b/>
      <sz val="10"/>
      <color indexed="8"/>
      <name val="Arial"/>
      <family val="2"/>
    </font>
    <font>
      <u/>
      <sz val="11"/>
      <name val="Arial"/>
      <family val="2"/>
    </font>
    <font>
      <b/>
      <sz val="16"/>
      <color indexed="18"/>
      <name val="Arial"/>
      <family val="2"/>
    </font>
    <font>
      <sz val="14"/>
      <name val="Arial"/>
      <family val="2"/>
    </font>
    <font>
      <b/>
      <sz val="20"/>
      <color indexed="18"/>
      <name val="Arial"/>
      <family val="2"/>
    </font>
    <font>
      <b/>
      <sz val="14"/>
      <name val="Arial"/>
      <family val="2"/>
    </font>
    <font>
      <b/>
      <sz val="13"/>
      <color indexed="16"/>
      <name val="Arial"/>
      <family val="2"/>
    </font>
    <font>
      <b/>
      <sz val="10"/>
      <color indexed="16"/>
      <name val="Arial"/>
      <family val="2"/>
    </font>
    <font>
      <b/>
      <sz val="10"/>
      <color theme="0"/>
      <name val="Arial"/>
      <family val="2"/>
    </font>
    <font>
      <sz val="10"/>
      <color theme="0"/>
      <name val="Arial"/>
      <family val="2"/>
    </font>
    <font>
      <b/>
      <sz val="9"/>
      <color theme="1"/>
      <name val="Arial"/>
      <family val="2"/>
    </font>
    <font>
      <sz val="10"/>
      <color theme="4" tint="-0.249977111117893"/>
      <name val="Arial"/>
      <family val="2"/>
    </font>
  </fonts>
  <fills count="11">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002060"/>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rgb="FF92D050"/>
        <bgColor indexed="64"/>
      </patternFill>
    </fill>
    <fill>
      <patternFill patternType="solid">
        <fgColor theme="9" tint="-0.249977111117893"/>
        <bgColor indexed="64"/>
      </patternFill>
    </fill>
  </fills>
  <borders count="17">
    <border>
      <left/>
      <right/>
      <top/>
      <bottom/>
      <diagonal/>
    </border>
    <border>
      <left/>
      <right/>
      <top/>
      <bottom style="medium">
        <color auto="1"/>
      </bottom>
      <diagonal/>
    </border>
    <border>
      <left/>
      <right style="thin">
        <color auto="1"/>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top/>
      <bottom style="thick">
        <color indexed="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45">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9" fillId="0" borderId="0"/>
    <xf numFmtId="0" fontId="10" fillId="0" borderId="0"/>
  </cellStyleXfs>
  <cellXfs count="114">
    <xf numFmtId="0" fontId="0" fillId="0" borderId="0" xfId="0"/>
    <xf numFmtId="0" fontId="9" fillId="2" borderId="0" xfId="143" applyFill="1"/>
    <xf numFmtId="0" fontId="9" fillId="2" borderId="0" xfId="143" applyFill="1" applyAlignment="1">
      <alignment horizontal="center"/>
    </xf>
    <xf numFmtId="0" fontId="10" fillId="2" borderId="0" xfId="143" applyFont="1" applyFill="1"/>
    <xf numFmtId="0" fontId="9" fillId="2" borderId="0" xfId="143" applyFill="1" applyBorder="1"/>
    <xf numFmtId="0" fontId="11" fillId="2" borderId="0" xfId="143" applyFont="1" applyFill="1"/>
    <xf numFmtId="0" fontId="12" fillId="2" borderId="0" xfId="143" applyFont="1" applyFill="1"/>
    <xf numFmtId="0" fontId="12" fillId="2" borderId="0" xfId="143" applyFont="1" applyFill="1" applyAlignment="1">
      <alignment vertical="top"/>
    </xf>
    <xf numFmtId="0" fontId="13" fillId="2" borderId="0" xfId="143" applyFont="1" applyFill="1" applyAlignment="1">
      <alignment vertical="top"/>
    </xf>
    <xf numFmtId="0" fontId="9" fillId="2" borderId="3" xfId="143" applyFill="1" applyBorder="1" applyAlignment="1">
      <alignment horizontal="center"/>
    </xf>
    <xf numFmtId="0" fontId="14" fillId="2" borderId="1" xfId="143" applyFont="1" applyFill="1" applyBorder="1"/>
    <xf numFmtId="0" fontId="9" fillId="2" borderId="1" xfId="143" applyFill="1" applyBorder="1"/>
    <xf numFmtId="0" fontId="12" fillId="2" borderId="1" xfId="143" applyFont="1" applyFill="1" applyBorder="1"/>
    <xf numFmtId="0" fontId="14" fillId="2" borderId="4" xfId="143" applyFont="1" applyFill="1" applyBorder="1"/>
    <xf numFmtId="0" fontId="11" fillId="2" borderId="0" xfId="143" applyFont="1" applyFill="1" applyBorder="1" applyAlignment="1">
      <alignment horizontal="center"/>
    </xf>
    <xf numFmtId="0" fontId="9" fillId="2" borderId="6" xfId="143" applyFill="1" applyBorder="1"/>
    <xf numFmtId="0" fontId="11" fillId="2" borderId="0" xfId="143" applyFont="1" applyFill="1" applyAlignment="1">
      <alignment vertical="top"/>
    </xf>
    <xf numFmtId="0" fontId="11" fillId="2" borderId="5" xfId="143" applyFont="1" applyFill="1" applyBorder="1" applyAlignment="1">
      <alignment horizontal="center" vertical="top"/>
    </xf>
    <xf numFmtId="0" fontId="11" fillId="2" borderId="0" xfId="143" applyFont="1" applyFill="1" applyBorder="1" applyAlignment="1">
      <alignment vertical="top"/>
    </xf>
    <xf numFmtId="0" fontId="12" fillId="2" borderId="0" xfId="143" applyFont="1" applyFill="1" applyBorder="1"/>
    <xf numFmtId="0" fontId="12" fillId="2" borderId="6" xfId="143" applyFont="1" applyFill="1" applyBorder="1"/>
    <xf numFmtId="14" fontId="11" fillId="2" borderId="0" xfId="143" applyNumberFormat="1" applyFont="1" applyFill="1" applyBorder="1" applyAlignment="1">
      <alignment horizontal="left"/>
    </xf>
    <xf numFmtId="0" fontId="9" fillId="2" borderId="5" xfId="143" applyFill="1" applyBorder="1" applyAlignment="1">
      <alignment horizontal="center"/>
    </xf>
    <xf numFmtId="0" fontId="12" fillId="3" borderId="7" xfId="143" applyFont="1" applyFill="1" applyBorder="1" applyAlignment="1">
      <alignment horizontal="justify" vertical="center" wrapText="1"/>
    </xf>
    <xf numFmtId="49" fontId="15" fillId="3" borderId="7" xfId="143" applyNumberFormat="1" applyFont="1" applyFill="1" applyBorder="1" applyAlignment="1">
      <alignment horizontal="center" vertical="center" wrapText="1"/>
    </xf>
    <xf numFmtId="0" fontId="9" fillId="2" borderId="5" xfId="143" applyFill="1" applyBorder="1"/>
    <xf numFmtId="0" fontId="9" fillId="0" borderId="0" xfId="143"/>
    <xf numFmtId="0" fontId="9" fillId="2" borderId="0" xfId="143" applyFill="1" applyBorder="1" applyAlignment="1">
      <alignment horizontal="center"/>
    </xf>
    <xf numFmtId="0" fontId="9" fillId="2" borderId="6" xfId="143" applyFill="1" applyBorder="1" applyAlignment="1">
      <alignment horizontal="center"/>
    </xf>
    <xf numFmtId="0" fontId="20" fillId="2" borderId="0" xfId="143" applyFont="1" applyFill="1" applyBorder="1"/>
    <xf numFmtId="0" fontId="20" fillId="2" borderId="6" xfId="143" applyFont="1" applyFill="1" applyBorder="1"/>
    <xf numFmtId="0" fontId="9" fillId="2" borderId="8" xfId="143" applyFill="1" applyBorder="1" applyAlignment="1">
      <alignment horizontal="center"/>
    </xf>
    <xf numFmtId="0" fontId="9" fillId="2" borderId="9" xfId="143" applyFill="1" applyBorder="1"/>
    <xf numFmtId="0" fontId="20" fillId="2" borderId="9" xfId="143" applyFont="1" applyFill="1" applyBorder="1"/>
    <xf numFmtId="0" fontId="20" fillId="2" borderId="10" xfId="143" applyFont="1" applyFill="1" applyBorder="1"/>
    <xf numFmtId="0" fontId="10" fillId="0" borderId="11" xfId="144" applyFont="1" applyFill="1" applyBorder="1" applyAlignment="1">
      <alignment horizontal="justify" vertical="center" wrapText="1"/>
    </xf>
    <xf numFmtId="0" fontId="10" fillId="2" borderId="0" xfId="144" applyFont="1" applyFill="1"/>
    <xf numFmtId="0" fontId="10" fillId="2" borderId="0" xfId="144" applyFont="1" applyFill="1" applyAlignment="1">
      <alignment horizontal="center"/>
    </xf>
    <xf numFmtId="0" fontId="10" fillId="2" borderId="0" xfId="144" applyFont="1" applyFill="1" applyBorder="1"/>
    <xf numFmtId="0" fontId="12" fillId="2" borderId="0" xfId="144" applyFont="1" applyFill="1" applyBorder="1"/>
    <xf numFmtId="0" fontId="12" fillId="2" borderId="0" xfId="144" applyFont="1" applyFill="1"/>
    <xf numFmtId="0" fontId="12" fillId="6" borderId="7" xfId="0" applyFont="1" applyFill="1" applyBorder="1" applyAlignment="1">
      <alignment vertical="center" wrapText="1"/>
    </xf>
    <xf numFmtId="0" fontId="12" fillId="6" borderId="7" xfId="144" applyFont="1" applyFill="1" applyBorder="1" applyAlignment="1">
      <alignment vertical="center"/>
    </xf>
    <xf numFmtId="0" fontId="12" fillId="6" borderId="7" xfId="144" applyFont="1" applyFill="1" applyBorder="1" applyAlignment="1">
      <alignment vertical="center" wrapText="1"/>
    </xf>
    <xf numFmtId="0" fontId="10" fillId="0" borderId="11" xfId="144" applyFont="1" applyFill="1" applyBorder="1" applyAlignment="1" applyProtection="1">
      <alignment horizontal="justify" vertical="center" wrapText="1"/>
      <protection locked="0"/>
    </xf>
    <xf numFmtId="0" fontId="1" fillId="0" borderId="0" xfId="0" applyFont="1" applyAlignment="1" applyProtection="1">
      <alignment vertical="top" wrapText="1"/>
      <protection locked="0"/>
    </xf>
    <xf numFmtId="0" fontId="1" fillId="0" borderId="0" xfId="0" applyFont="1" applyAlignment="1" applyProtection="1">
      <alignment vertical="top"/>
      <protection locked="0"/>
    </xf>
    <xf numFmtId="0" fontId="1" fillId="0" borderId="0" xfId="0" applyFont="1" applyAlignment="1" applyProtection="1">
      <alignment horizontal="center" vertical="center" wrapText="1"/>
    </xf>
    <xf numFmtId="0" fontId="4" fillId="0" borderId="0" xfId="0" applyFont="1" applyProtection="1"/>
    <xf numFmtId="0" fontId="5" fillId="0" borderId="0" xfId="0" applyFont="1" applyProtection="1"/>
    <xf numFmtId="0" fontId="7" fillId="0" borderId="0" xfId="0" applyFont="1" applyProtection="1"/>
    <xf numFmtId="0" fontId="5" fillId="0" borderId="0" xfId="0" applyFont="1" applyBorder="1" applyProtection="1"/>
    <xf numFmtId="0" fontId="5" fillId="0" borderId="2" xfId="0" applyFont="1" applyBorder="1" applyProtection="1"/>
    <xf numFmtId="0" fontId="5" fillId="7" borderId="0" xfId="0" applyFont="1" applyFill="1" applyProtection="1">
      <protection locked="0"/>
    </xf>
    <xf numFmtId="0" fontId="5" fillId="7" borderId="0" xfId="0" applyFont="1" applyFill="1" applyBorder="1" applyProtection="1">
      <protection locked="0"/>
    </xf>
    <xf numFmtId="0" fontId="1" fillId="4" borderId="0" xfId="0" applyFont="1" applyFill="1" applyAlignment="1" applyProtection="1">
      <alignment vertical="top" wrapText="1"/>
      <protection locked="0"/>
    </xf>
    <xf numFmtId="0" fontId="21" fillId="0" borderId="0" xfId="144" applyFont="1" applyFill="1" applyBorder="1" applyAlignment="1" applyProtection="1">
      <alignment vertical="center" wrapText="1"/>
      <protection locked="0"/>
    </xf>
    <xf numFmtId="0" fontId="6" fillId="9" borderId="7" xfId="0" applyFont="1" applyFill="1" applyBorder="1" applyAlignment="1" applyProtection="1">
      <alignment horizontal="center" vertical="center" wrapText="1"/>
    </xf>
    <xf numFmtId="0" fontId="6" fillId="0" borderId="1" xfId="0" applyFont="1" applyBorder="1" applyProtection="1"/>
    <xf numFmtId="0" fontId="23" fillId="10" borderId="7" xfId="0" applyFont="1" applyFill="1" applyBorder="1" applyAlignment="1" applyProtection="1">
      <alignment horizontal="center" vertical="center" wrapText="1"/>
    </xf>
    <xf numFmtId="0" fontId="9" fillId="2" borderId="7" xfId="143" applyFont="1" applyFill="1" applyBorder="1" applyAlignment="1" applyProtection="1">
      <alignment horizontal="center" vertical="center" wrapText="1"/>
      <protection locked="0"/>
    </xf>
    <xf numFmtId="0" fontId="9" fillId="2" borderId="0" xfId="143" applyFont="1" applyFill="1" applyBorder="1"/>
    <xf numFmtId="0" fontId="9" fillId="2" borderId="7" xfId="143" applyFont="1" applyFill="1" applyBorder="1" applyAlignment="1" applyProtection="1">
      <alignment horizontal="justify" vertical="center" wrapText="1"/>
      <protection locked="0"/>
    </xf>
    <xf numFmtId="164" fontId="9" fillId="2" borderId="7" xfId="143" applyNumberFormat="1" applyFont="1" applyFill="1" applyBorder="1" applyAlignment="1" applyProtection="1">
      <alignment horizontal="justify" vertical="center" wrapText="1"/>
      <protection locked="0"/>
    </xf>
    <xf numFmtId="0" fontId="9" fillId="2" borderId="0" xfId="143" applyFont="1" applyFill="1" applyBorder="1" applyAlignment="1">
      <alignment horizontal="center"/>
    </xf>
    <xf numFmtId="0" fontId="9" fillId="2" borderId="5" xfId="143" applyFont="1" applyFill="1" applyBorder="1" applyAlignment="1">
      <alignment horizontal="center"/>
    </xf>
    <xf numFmtId="0" fontId="9" fillId="2" borderId="0" xfId="143" applyFont="1" applyFill="1"/>
    <xf numFmtId="0" fontId="9" fillId="0" borderId="11" xfId="144" applyFont="1" applyFill="1" applyBorder="1" applyAlignment="1">
      <alignment horizontal="justify" vertical="center" wrapText="1"/>
    </xf>
    <xf numFmtId="0" fontId="9" fillId="4" borderId="11" xfId="144" applyFont="1" applyFill="1" applyBorder="1" applyAlignment="1">
      <alignment horizontal="justify" vertical="center" wrapText="1"/>
    </xf>
    <xf numFmtId="0" fontId="9" fillId="2" borderId="0" xfId="144" applyFont="1" applyFill="1"/>
    <xf numFmtId="0" fontId="9" fillId="2" borderId="0" xfId="144" applyFont="1" applyFill="1" applyAlignment="1">
      <alignment horizontal="center"/>
    </xf>
    <xf numFmtId="0" fontId="9" fillId="2" borderId="7" xfId="144" applyFont="1" applyFill="1" applyBorder="1"/>
    <xf numFmtId="0" fontId="9" fillId="2" borderId="7" xfId="144" applyFont="1" applyFill="1" applyBorder="1" applyAlignment="1">
      <alignment vertical="top" wrapText="1"/>
    </xf>
    <xf numFmtId="0" fontId="9" fillId="4" borderId="7" xfId="144" applyFont="1" applyFill="1" applyBorder="1" applyAlignment="1">
      <alignment vertical="top" wrapText="1"/>
    </xf>
    <xf numFmtId="0" fontId="9" fillId="2" borderId="7" xfId="144" applyFont="1" applyFill="1" applyBorder="1" applyAlignment="1">
      <alignment horizontal="left" vertical="top" wrapText="1"/>
    </xf>
    <xf numFmtId="0" fontId="9" fillId="2" borderId="0" xfId="144" applyFont="1" applyFill="1" applyBorder="1"/>
    <xf numFmtId="0" fontId="9" fillId="4" borderId="7" xfId="144" applyFont="1" applyFill="1" applyBorder="1" applyAlignment="1">
      <alignment horizontal="left" vertical="top" wrapText="1"/>
    </xf>
    <xf numFmtId="0" fontId="9" fillId="0" borderId="0" xfId="144" applyFont="1" applyFill="1" applyBorder="1" applyAlignment="1" applyProtection="1">
      <alignment horizontal="justify" vertical="center" wrapText="1"/>
      <protection locked="0"/>
    </xf>
    <xf numFmtId="0" fontId="9" fillId="4" borderId="11" xfId="144" applyFont="1" applyFill="1" applyBorder="1" applyAlignment="1" applyProtection="1">
      <alignment horizontal="justify" vertical="center" wrapText="1"/>
      <protection locked="0"/>
    </xf>
    <xf numFmtId="0" fontId="17" fillId="2" borderId="6" xfId="143" applyFont="1" applyFill="1" applyBorder="1" applyAlignment="1">
      <alignment horizontal="center" vertical="center" wrapText="1"/>
    </xf>
    <xf numFmtId="0" fontId="17" fillId="2" borderId="0" xfId="143" applyFont="1" applyFill="1" applyBorder="1" applyAlignment="1">
      <alignment horizontal="center" vertical="center" wrapText="1"/>
    </xf>
    <xf numFmtId="0" fontId="17" fillId="2" borderId="5" xfId="143" applyFont="1" applyFill="1" applyBorder="1" applyAlignment="1">
      <alignment horizontal="center" vertical="center" wrapText="1"/>
    </xf>
    <xf numFmtId="0" fontId="16" fillId="2" borderId="6" xfId="143" applyFont="1" applyFill="1" applyBorder="1" applyAlignment="1">
      <alignment horizontal="left"/>
    </xf>
    <xf numFmtId="0" fontId="9" fillId="2" borderId="0" xfId="143" applyFill="1" applyBorder="1" applyAlignment="1">
      <alignment horizontal="left"/>
    </xf>
    <xf numFmtId="0" fontId="9" fillId="2" borderId="5" xfId="143" applyFill="1" applyBorder="1" applyAlignment="1">
      <alignment horizontal="left"/>
    </xf>
    <xf numFmtId="0" fontId="19" fillId="2" borderId="6" xfId="143" applyFont="1" applyFill="1" applyBorder="1" applyAlignment="1">
      <alignment horizontal="center" vertical="center" wrapText="1"/>
    </xf>
    <xf numFmtId="0" fontId="19" fillId="2" borderId="0" xfId="143" applyFont="1" applyFill="1" applyBorder="1" applyAlignment="1">
      <alignment horizontal="center" vertical="center" wrapText="1"/>
    </xf>
    <xf numFmtId="0" fontId="19" fillId="2" borderId="5" xfId="143" applyFont="1" applyFill="1" applyBorder="1" applyAlignment="1">
      <alignment horizontal="center" vertical="center" wrapText="1"/>
    </xf>
    <xf numFmtId="0" fontId="18" fillId="2" borderId="6" xfId="143" applyFont="1" applyFill="1" applyBorder="1" applyAlignment="1">
      <alignment horizontal="center" vertical="center" wrapText="1"/>
    </xf>
    <xf numFmtId="0" fontId="18" fillId="2" borderId="0" xfId="143" applyFont="1" applyFill="1" applyBorder="1" applyAlignment="1">
      <alignment horizontal="center" vertical="center" wrapText="1"/>
    </xf>
    <xf numFmtId="0" fontId="18" fillId="2" borderId="5" xfId="143" applyFont="1" applyFill="1" applyBorder="1" applyAlignment="1">
      <alignment horizontal="center" vertical="center" wrapText="1"/>
    </xf>
    <xf numFmtId="0" fontId="19" fillId="2" borderId="6" xfId="143" applyFont="1" applyFill="1" applyBorder="1" applyAlignment="1" applyProtection="1">
      <alignment horizontal="center" vertical="center" wrapText="1"/>
      <protection locked="0"/>
    </xf>
    <xf numFmtId="0" fontId="19" fillId="2" borderId="0" xfId="143" applyFont="1" applyFill="1" applyBorder="1" applyAlignment="1" applyProtection="1">
      <alignment horizontal="center" vertical="center" wrapText="1"/>
      <protection locked="0"/>
    </xf>
    <xf numFmtId="0" fontId="19" fillId="2" borderId="5" xfId="143" applyFont="1" applyFill="1" applyBorder="1" applyAlignment="1" applyProtection="1">
      <alignment horizontal="center" vertical="center" wrapText="1"/>
      <protection locked="0"/>
    </xf>
    <xf numFmtId="0" fontId="23" fillId="5" borderId="7" xfId="144" applyFont="1" applyFill="1" applyBorder="1" applyAlignment="1">
      <alignment horizontal="center" vertical="center" wrapText="1"/>
    </xf>
    <xf numFmtId="0" fontId="24" fillId="5" borderId="7" xfId="144" applyFont="1" applyFill="1" applyBorder="1" applyAlignment="1">
      <alignment horizontal="center" vertical="center"/>
    </xf>
    <xf numFmtId="0" fontId="21" fillId="0" borderId="11" xfId="144" applyFont="1" applyFill="1" applyBorder="1" applyAlignment="1">
      <alignment vertical="center" wrapText="1"/>
    </xf>
    <xf numFmtId="0" fontId="22" fillId="0" borderId="11" xfId="144" applyFont="1" applyFill="1" applyBorder="1" applyAlignment="1">
      <alignment vertical="center" wrapText="1"/>
    </xf>
    <xf numFmtId="0" fontId="9" fillId="2" borderId="7" xfId="144" applyFont="1" applyFill="1" applyBorder="1" applyAlignment="1">
      <alignment horizontal="left" vertical="top" wrapText="1"/>
    </xf>
    <xf numFmtId="0" fontId="9" fillId="0" borderId="7" xfId="144" applyFont="1" applyBorder="1" applyAlignment="1">
      <alignment horizontal="left" vertical="top" wrapText="1"/>
    </xf>
    <xf numFmtId="0" fontId="21" fillId="0" borderId="14" xfId="144" applyFont="1" applyFill="1" applyBorder="1" applyAlignment="1" applyProtection="1">
      <alignment horizontal="center" vertical="center" wrapText="1"/>
      <protection locked="0"/>
    </xf>
    <xf numFmtId="0" fontId="25" fillId="8" borderId="7" xfId="0" applyFont="1" applyFill="1" applyBorder="1" applyAlignment="1" applyProtection="1">
      <alignment horizontal="center" vertical="center" wrapText="1"/>
      <protection locked="0"/>
    </xf>
    <xf numFmtId="0" fontId="25" fillId="6" borderId="12" xfId="0" applyFont="1" applyFill="1" applyBorder="1" applyAlignment="1" applyProtection="1">
      <alignment horizontal="center" vertical="top" wrapText="1"/>
      <protection locked="0"/>
    </xf>
    <xf numFmtId="0" fontId="25" fillId="6" borderId="13" xfId="0" applyFont="1" applyFill="1" applyBorder="1" applyAlignment="1" applyProtection="1">
      <alignment horizontal="center" vertical="top" wrapText="1"/>
      <protection locked="0"/>
    </xf>
    <xf numFmtId="0" fontId="8" fillId="0" borderId="0" xfId="0" applyFont="1" applyBorder="1" applyAlignment="1" applyProtection="1"/>
    <xf numFmtId="0" fontId="8" fillId="0" borderId="1" xfId="0" applyFont="1" applyBorder="1" applyAlignment="1" applyProtection="1"/>
    <xf numFmtId="0" fontId="5" fillId="7" borderId="0" xfId="0" applyFont="1" applyFill="1" applyAlignment="1" applyProtection="1"/>
    <xf numFmtId="0" fontId="6" fillId="0" borderId="0" xfId="0" applyFont="1" applyBorder="1" applyAlignment="1" applyProtection="1"/>
    <xf numFmtId="0" fontId="6" fillId="0" borderId="1" xfId="0" applyFont="1" applyBorder="1" applyAlignment="1" applyProtection="1"/>
    <xf numFmtId="0" fontId="6" fillId="0" borderId="0" xfId="0" applyFont="1" applyAlignment="1" applyProtection="1"/>
    <xf numFmtId="0" fontId="6" fillId="0" borderId="0" xfId="0" applyFont="1" applyBorder="1" applyAlignment="1" applyProtection="1">
      <alignment wrapText="1"/>
    </xf>
    <xf numFmtId="0" fontId="6" fillId="0" borderId="1" xfId="0" applyFont="1" applyBorder="1" applyAlignment="1" applyProtection="1">
      <alignment wrapText="1"/>
    </xf>
    <xf numFmtId="0" fontId="23" fillId="5" borderId="16" xfId="0" applyFont="1" applyFill="1" applyBorder="1" applyAlignment="1" applyProtection="1">
      <alignment horizontal="center" vertical="center" wrapText="1"/>
    </xf>
    <xf numFmtId="0" fontId="5" fillId="0" borderId="15" xfId="0" applyFont="1" applyBorder="1" applyAlignment="1" applyProtection="1">
      <alignment vertical="top" wrapText="1"/>
      <protection locked="0"/>
    </xf>
  </cellXfs>
  <cellStyles count="145">
    <cellStyle name="Followed Hyperlink" xfId="32" builtinId="9" hidden="1"/>
    <cellStyle name="Followed Hyperlink" xfId="66" builtinId="9" hidden="1"/>
    <cellStyle name="Followed Hyperlink" xfId="82" builtinId="9" hidden="1"/>
    <cellStyle name="Followed Hyperlink" xfId="112" builtinId="9" hidden="1"/>
    <cellStyle name="Followed Hyperlink" xfId="120" builtinId="9" hidden="1"/>
    <cellStyle name="Followed Hyperlink" xfId="132" builtinId="9" hidden="1"/>
    <cellStyle name="Followed Hyperlink" xfId="142" builtinId="9" hidden="1"/>
    <cellStyle name="Followed Hyperlink" xfId="134" builtinId="9" hidden="1"/>
    <cellStyle name="Followed Hyperlink" xfId="122" builtinId="9" hidden="1"/>
    <cellStyle name="Followed Hyperlink" xfId="110" builtinId="9" hidden="1"/>
    <cellStyle name="Followed Hyperlink" xfId="102" builtinId="9" hidden="1"/>
    <cellStyle name="Followed Hyperlink" xfId="98" builtinId="9" hidden="1"/>
    <cellStyle name="Followed Hyperlink" xfId="130" builtinId="9" hidden="1"/>
    <cellStyle name="Followed Hyperlink" xfId="124" builtinId="9" hidden="1"/>
    <cellStyle name="Followed Hyperlink" xfId="84" builtinId="9" hidden="1"/>
    <cellStyle name="Followed Hyperlink" xfId="96" builtinId="9" hidden="1"/>
    <cellStyle name="Followed Hyperlink" xfId="104" builtinId="9" hidden="1"/>
    <cellStyle name="Followed Hyperlink" xfId="76" builtinId="9" hidden="1"/>
    <cellStyle name="Followed Hyperlink" xfId="72" builtinId="9" hidden="1"/>
    <cellStyle name="Followed Hyperlink" xfId="68" builtinId="9" hidden="1"/>
    <cellStyle name="Followed Hyperlink" xfId="80" builtinId="9" hidden="1"/>
    <cellStyle name="Followed Hyperlink" xfId="92" builtinId="9" hidden="1"/>
    <cellStyle name="Followed Hyperlink" xfId="100" builtinId="9" hidden="1"/>
    <cellStyle name="Followed Hyperlink" xfId="88" builtinId="9" hidden="1"/>
    <cellStyle name="Followed Hyperlink" xfId="108" builtinId="9" hidden="1"/>
    <cellStyle name="Followed Hyperlink" xfId="140" builtinId="9" hidden="1"/>
    <cellStyle name="Followed Hyperlink" xfId="114" builtinId="9" hidden="1"/>
    <cellStyle name="Followed Hyperlink" xfId="94" builtinId="9" hidden="1"/>
    <cellStyle name="Followed Hyperlink" xfId="106" builtinId="9" hidden="1"/>
    <cellStyle name="Followed Hyperlink" xfId="118" builtinId="9" hidden="1"/>
    <cellStyle name="Followed Hyperlink" xfId="126" builtinId="9" hidden="1"/>
    <cellStyle name="Followed Hyperlink" xfId="138" builtinId="9" hidden="1"/>
    <cellStyle name="Followed Hyperlink" xfId="136" builtinId="9" hidden="1"/>
    <cellStyle name="Followed Hyperlink" xfId="128" builtinId="9" hidden="1"/>
    <cellStyle name="Followed Hyperlink" xfId="116" builtinId="9" hidden="1"/>
    <cellStyle name="Followed Hyperlink" xfId="90" builtinId="9" hidden="1"/>
    <cellStyle name="Followed Hyperlink" xfId="74" builtinId="9" hidden="1"/>
    <cellStyle name="Followed Hyperlink" xfId="26" builtinId="9" hidden="1"/>
    <cellStyle name="Followed Hyperlink" xfId="36" builtinId="9" hidden="1"/>
    <cellStyle name="Followed Hyperlink" xfId="62" builtinId="9" hidden="1"/>
    <cellStyle name="Followed Hyperlink" xfId="46" builtinId="9" hidden="1"/>
    <cellStyle name="Followed Hyperlink" xfId="30" builtinId="9" hidden="1"/>
    <cellStyle name="Followed Hyperlink" xfId="16" builtinId="9" hidden="1"/>
    <cellStyle name="Followed Hyperlink" xfId="20" builtinId="9" hidden="1"/>
    <cellStyle name="Followed Hyperlink" xfId="6" builtinId="9" hidden="1"/>
    <cellStyle name="Followed Hyperlink" xfId="2" builtinId="9" hidden="1"/>
    <cellStyle name="Followed Hyperlink" xfId="8" builtinId="9" hidden="1"/>
    <cellStyle name="Followed Hyperlink" xfId="14" builtinId="9" hidden="1"/>
    <cellStyle name="Followed Hyperlink" xfId="12" builtinId="9" hidden="1"/>
    <cellStyle name="Followed Hyperlink" xfId="22" builtinId="9" hidden="1"/>
    <cellStyle name="Followed Hyperlink" xfId="38" builtinId="9" hidden="1"/>
    <cellStyle name="Followed Hyperlink" xfId="64" builtinId="9" hidden="1"/>
    <cellStyle name="Followed Hyperlink" xfId="58" builtinId="9" hidden="1"/>
    <cellStyle name="Followed Hyperlink" xfId="52" builtinId="9" hidden="1"/>
    <cellStyle name="Followed Hyperlink" xfId="42" builtinId="9" hidden="1"/>
    <cellStyle name="Followed Hyperlink" xfId="48" builtinId="9" hidden="1"/>
    <cellStyle name="Followed Hyperlink" xfId="54" builtinId="9" hidden="1"/>
    <cellStyle name="Followed Hyperlink" xfId="18" builtinId="9" hidden="1"/>
    <cellStyle name="Followed Hyperlink" xfId="4" builtinId="9" hidden="1"/>
    <cellStyle name="Followed Hyperlink" xfId="10" builtinId="9" hidden="1"/>
    <cellStyle name="Followed Hyperlink" xfId="60" builtinId="9" hidden="1"/>
    <cellStyle name="Followed Hyperlink" xfId="28" builtinId="9" hidden="1"/>
    <cellStyle name="Followed Hyperlink" xfId="34" builtinId="9" hidden="1"/>
    <cellStyle name="Followed Hyperlink" xfId="44" builtinId="9" hidden="1"/>
    <cellStyle name="Followed Hyperlink" xfId="50" builtinId="9" hidden="1"/>
    <cellStyle name="Followed Hyperlink" xfId="56" builtinId="9" hidden="1"/>
    <cellStyle name="Followed Hyperlink" xfId="40" builtinId="9" hidden="1"/>
    <cellStyle name="Followed Hyperlink" xfId="70" builtinId="9" hidden="1"/>
    <cellStyle name="Followed Hyperlink" xfId="24" builtinId="9" hidden="1"/>
    <cellStyle name="Followed Hyperlink" xfId="78" builtinId="9" hidden="1"/>
    <cellStyle name="Followed Hyperlink" xfId="86" builtinId="9" hidden="1"/>
    <cellStyle name="Hyperlink" xfId="117" builtinId="8" hidden="1"/>
    <cellStyle name="Hyperlink" xfId="125" builtinId="8" hidden="1"/>
    <cellStyle name="Hyperlink" xfId="127" builtinId="8" hidden="1"/>
    <cellStyle name="Hyperlink" xfId="129" builtinId="8" hidden="1"/>
    <cellStyle name="Hyperlink" xfId="135" builtinId="8" hidden="1"/>
    <cellStyle name="Hyperlink" xfId="137" builtinId="8" hidden="1"/>
    <cellStyle name="Hyperlink" xfId="139" builtinId="8" hidden="1"/>
    <cellStyle name="Hyperlink" xfId="123" builtinId="8" hidden="1"/>
    <cellStyle name="Hyperlink" xfId="115" builtinId="8" hidden="1"/>
    <cellStyle name="Hyperlink" xfId="107" builtinId="8" hidden="1"/>
    <cellStyle name="Hyperlink" xfId="91" builtinId="8" hidden="1"/>
    <cellStyle name="Hyperlink" xfId="75" builtinId="8" hidden="1"/>
    <cellStyle name="Hyperlink" xfId="31" builtinId="8" hidden="1"/>
    <cellStyle name="Hyperlink" xfId="141" builtinId="8" hidden="1"/>
    <cellStyle name="Hyperlink" xfId="119" builtinId="8" hidden="1"/>
    <cellStyle name="Hyperlink" xfId="93" builtinId="8" hidden="1"/>
    <cellStyle name="Hyperlink" xfId="97" builtinId="8" hidden="1"/>
    <cellStyle name="Hyperlink" xfId="101" builtinId="8" hidden="1"/>
    <cellStyle name="Hyperlink" xfId="103" builtinId="8" hidden="1"/>
    <cellStyle name="Hyperlink" xfId="109" builtinId="8" hidden="1"/>
    <cellStyle name="Hyperlink" xfId="111" builtinId="8" hidden="1"/>
    <cellStyle name="Hyperlink" xfId="81" builtinId="8" hidden="1"/>
    <cellStyle name="Hyperlink" xfId="87" builtinId="8" hidden="1"/>
    <cellStyle name="Hyperlink" xfId="89" builtinId="8" hidden="1"/>
    <cellStyle name="Hyperlink" xfId="77" builtinId="8" hidden="1"/>
    <cellStyle name="Hyperlink" xfId="73" builtinId="8" hidden="1"/>
    <cellStyle name="Hyperlink" xfId="79" builtinId="8" hidden="1"/>
    <cellStyle name="Hyperlink" xfId="85" builtinId="8" hidden="1"/>
    <cellStyle name="Hyperlink" xfId="105" builtinId="8" hidden="1"/>
    <cellStyle name="Hyperlink" xfId="95" builtinId="8" hidden="1"/>
    <cellStyle name="Hyperlink" xfId="83" builtinId="8" hidden="1"/>
    <cellStyle name="Hyperlink" xfId="99" builtinId="8" hidden="1"/>
    <cellStyle name="Hyperlink" xfId="131" builtinId="8" hidden="1"/>
    <cellStyle name="Hyperlink" xfId="133" builtinId="8" hidden="1"/>
    <cellStyle name="Hyperlink" xfId="121" builtinId="8" hidden="1"/>
    <cellStyle name="Hyperlink" xfId="15" builtinId="8" hidden="1"/>
    <cellStyle name="Hyperlink" xfId="19" builtinId="8" hidden="1"/>
    <cellStyle name="Hyperlink" xfId="23" builtinId="8" hidden="1"/>
    <cellStyle name="Hyperlink" xfId="27" builtinId="8" hidden="1"/>
    <cellStyle name="Hyperlink" xfId="29" builtinId="8" hidden="1"/>
    <cellStyle name="Hyperlink" xfId="7" builtinId="8" hidden="1"/>
    <cellStyle name="Hyperlink" xfId="11" builtinId="8" hidden="1"/>
    <cellStyle name="Hyperlink" xfId="13" builtinId="8" hidden="1"/>
    <cellStyle name="Hyperlink" xfId="3" builtinId="8" hidden="1"/>
    <cellStyle name="Hyperlink" xfId="5" builtinId="8" hidden="1"/>
    <cellStyle name="Hyperlink" xfId="9" builtinId="8" hidden="1"/>
    <cellStyle name="Hyperlink" xfId="25" builtinId="8" hidden="1"/>
    <cellStyle name="Hyperlink" xfId="17" builtinId="8" hidden="1"/>
    <cellStyle name="Hyperlink" xfId="67" builtinId="8" hidden="1"/>
    <cellStyle name="Hyperlink" xfId="63" builtinId="8" hidden="1"/>
    <cellStyle name="Hyperlink" xfId="55" builtinId="8" hidden="1"/>
    <cellStyle name="Hyperlink" xfId="37" builtinId="8" hidden="1"/>
    <cellStyle name="Hyperlink" xfId="113" builtinId="8" hidden="1"/>
    <cellStyle name="Hyperlink" xfId="45" builtinId="8" hidden="1"/>
    <cellStyle name="Hyperlink" xfId="1" builtinId="8" hidden="1"/>
    <cellStyle name="Hyperlink" xfId="21" builtinId="8" hidden="1"/>
    <cellStyle name="Hyperlink" xfId="57" builtinId="8" hidden="1"/>
    <cellStyle name="Hyperlink" xfId="59" builtinId="8" hidden="1"/>
    <cellStyle name="Hyperlink" xfId="61" builtinId="8" hidden="1"/>
    <cellStyle name="Hyperlink" xfId="65" builtinId="8" hidden="1"/>
    <cellStyle name="Hyperlink" xfId="69" builtinId="8" hidden="1"/>
    <cellStyle name="Hyperlink" xfId="71" builtinId="8" hidden="1"/>
    <cellStyle name="Hyperlink" xfId="51" builtinId="8" hidden="1"/>
    <cellStyle name="Hyperlink" xfId="35" builtinId="8" hidden="1"/>
    <cellStyle name="Hyperlink" xfId="43" builtinId="8" hidden="1"/>
    <cellStyle name="Hyperlink" xfId="47" builtinId="8" hidden="1"/>
    <cellStyle name="Hyperlink" xfId="49" builtinId="8" hidden="1"/>
    <cellStyle name="Hyperlink" xfId="53" builtinId="8" hidden="1"/>
    <cellStyle name="Hyperlink" xfId="39" builtinId="8" hidden="1"/>
    <cellStyle name="Hyperlink" xfId="41" builtinId="8" hidden="1"/>
    <cellStyle name="Hyperlink" xfId="33" builtinId="8" hidden="1"/>
    <cellStyle name="Normal" xfId="0" builtinId="0"/>
    <cellStyle name="Normal 2" xfId="143" xr:uid="{00000000-0005-0000-0000-00008F000000}"/>
    <cellStyle name="Normal 2 2" xfId="144" xr:uid="{00000000-0005-0000-0000-000090000000}"/>
  </cellStyles>
  <dxfs count="3">
    <dxf>
      <font>
        <strike/>
        <color theme="0" tint="-0.499984740745262"/>
      </font>
    </dxf>
    <dxf>
      <font>
        <strike/>
        <color theme="0" tint="-0.499984740745262"/>
      </font>
    </dxf>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000">
                <a:latin typeface="Arial"/>
                <a:cs typeface="Arial"/>
              </a:defRPr>
            </a:pPr>
            <a:r>
              <a:rPr lang="en-US" sz="2000">
                <a:latin typeface="Arial"/>
                <a:cs typeface="Arial"/>
              </a:rPr>
              <a:t>Release Burndown</a:t>
            </a:r>
          </a:p>
        </c:rich>
      </c:tx>
      <c:overlay val="0"/>
    </c:title>
    <c:autoTitleDeleted val="0"/>
    <c:plotArea>
      <c:layout>
        <c:manualLayout>
          <c:layoutTarget val="inner"/>
          <c:xMode val="edge"/>
          <c:yMode val="edge"/>
          <c:x val="0.120180783089318"/>
          <c:y val="0.15416939381317901"/>
          <c:w val="0.84582022033975601"/>
          <c:h val="0.74499375235526299"/>
        </c:manualLayout>
      </c:layout>
      <c:lineChart>
        <c:grouping val="standard"/>
        <c:varyColors val="0"/>
        <c:ser>
          <c:idx val="0"/>
          <c:order val="0"/>
          <c:spPr>
            <a:ln>
              <a:solidFill>
                <a:schemeClr val="bg1"/>
              </a:solidFill>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Charts!$F$6:$F$8</c:f>
              <c:numCache>
                <c:formatCode>General</c:formatCode>
                <c:ptCount val="3"/>
                <c:pt idx="0">
                  <c:v>0</c:v>
                </c:pt>
                <c:pt idx="1">
                  <c:v>-145</c:v>
                </c:pt>
                <c:pt idx="2">
                  <c:v>-135</c:v>
                </c:pt>
              </c:numCache>
            </c:numRef>
          </c:val>
          <c:smooth val="0"/>
          <c:extLst>
            <c:ext xmlns:c16="http://schemas.microsoft.com/office/drawing/2014/chart" uri="{C3380CC4-5D6E-409C-BE32-E72D297353CC}">
              <c16:uniqueId val="{00000000-32C2-465F-AAB4-7E4A2D206234}"/>
            </c:ext>
          </c:extLst>
        </c:ser>
        <c:ser>
          <c:idx val="1"/>
          <c:order val="1"/>
          <c:spPr>
            <a:ln>
              <a:solidFill>
                <a:schemeClr val="bg1"/>
              </a:solidFill>
            </a:ln>
          </c:spPr>
          <c:marker>
            <c:symbol val="none"/>
          </c:marker>
          <c:trendline>
            <c:trendlineType val="linear"/>
            <c:dispRSqr val="0"/>
            <c:dispEq val="0"/>
          </c:trendline>
          <c:cat>
            <c:numRef>
              <c:f>Charts!$A$6:$A$8</c:f>
              <c:numCache>
                <c:formatCode>General</c:formatCode>
                <c:ptCount val="3"/>
                <c:pt idx="0">
                  <c:v>1</c:v>
                </c:pt>
                <c:pt idx="1">
                  <c:v>2</c:v>
                </c:pt>
                <c:pt idx="2">
                  <c:v>3</c:v>
                </c:pt>
              </c:numCache>
            </c:numRef>
          </c:cat>
          <c:val>
            <c:numRef>
              <c:f>Charts!$G$6:$G$8</c:f>
              <c:numCache>
                <c:formatCode>General</c:formatCode>
                <c:ptCount val="3"/>
                <c:pt idx="0">
                  <c:v>100</c:v>
                </c:pt>
                <c:pt idx="1">
                  <c:v>25</c:v>
                </c:pt>
                <c:pt idx="2">
                  <c:v>55</c:v>
                </c:pt>
              </c:numCache>
            </c:numRef>
          </c:val>
          <c:smooth val="0"/>
          <c:extLst>
            <c:ext xmlns:c16="http://schemas.microsoft.com/office/drawing/2014/chart" uri="{C3380CC4-5D6E-409C-BE32-E72D297353CC}">
              <c16:uniqueId val="{00000001-32C2-465F-AAB4-7E4A2D206234}"/>
            </c:ext>
          </c:extLst>
        </c:ser>
        <c:dLbls>
          <c:showLegendKey val="0"/>
          <c:showVal val="0"/>
          <c:showCatName val="0"/>
          <c:showSerName val="0"/>
          <c:showPercent val="0"/>
          <c:showBubbleSize val="0"/>
        </c:dLbls>
        <c:upDownBars>
          <c:gapWidth val="150"/>
          <c:upBars>
            <c:spPr>
              <a:solidFill>
                <a:schemeClr val="accent1"/>
              </a:solidFill>
              <a:ln>
                <a:solidFill>
                  <a:schemeClr val="accent1"/>
                </a:solidFill>
              </a:ln>
            </c:spPr>
          </c:upBars>
          <c:downBars/>
        </c:upDownBars>
        <c:smooth val="0"/>
        <c:axId val="2144712184"/>
        <c:axId val="2144717688"/>
      </c:lineChart>
      <c:catAx>
        <c:axId val="2144712184"/>
        <c:scaling>
          <c:orientation val="minMax"/>
        </c:scaling>
        <c:delete val="0"/>
        <c:axPos val="b"/>
        <c:title>
          <c:tx>
            <c:rich>
              <a:bodyPr/>
              <a:lstStyle/>
              <a:p>
                <a:pPr>
                  <a:defRPr sz="1600">
                    <a:latin typeface="Arial" pitchFamily="34" charset="0"/>
                    <a:cs typeface="Arial" pitchFamily="34" charset="0"/>
                  </a:defRPr>
                </a:pPr>
                <a:r>
                  <a:rPr lang="en-AU" sz="1600">
                    <a:latin typeface="Arial" pitchFamily="34" charset="0"/>
                    <a:cs typeface="Arial" pitchFamily="34" charset="0"/>
                  </a:rPr>
                  <a:t>Sprint</a:t>
                </a:r>
              </a:p>
            </c:rich>
          </c:tx>
          <c:overlay val="0"/>
        </c:title>
        <c:numFmt formatCode="#,##0_);\(#,##0\)" sourceLinked="0"/>
        <c:majorTickMark val="out"/>
        <c:minorTickMark val="none"/>
        <c:tickLblPos val="nextTo"/>
        <c:txPr>
          <a:bodyPr rot="0" vert="horz"/>
          <a:lstStyle/>
          <a:p>
            <a:pPr>
              <a:defRPr/>
            </a:pPr>
            <a:endParaRPr lang="en-US"/>
          </a:p>
        </c:txPr>
        <c:crossAx val="2144717688"/>
        <c:crosses val="autoZero"/>
        <c:auto val="1"/>
        <c:lblAlgn val="ctr"/>
        <c:lblOffset val="100"/>
        <c:noMultiLvlLbl val="0"/>
      </c:catAx>
      <c:valAx>
        <c:axId val="2144717688"/>
        <c:scaling>
          <c:orientation val="minMax"/>
        </c:scaling>
        <c:delete val="0"/>
        <c:axPos val="l"/>
        <c:majorGridlines/>
        <c:title>
          <c:tx>
            <c:rich>
              <a:bodyPr rot="-5400000" vert="horz"/>
              <a:lstStyle/>
              <a:p>
                <a:pPr>
                  <a:defRPr sz="1600">
                    <a:latin typeface="Arial" pitchFamily="34" charset="0"/>
                    <a:cs typeface="Arial" pitchFamily="34" charset="0"/>
                  </a:defRPr>
                </a:pPr>
                <a:r>
                  <a:rPr lang="en-US"/>
                  <a:t>Story Points</a:t>
                </a:r>
              </a:p>
            </c:rich>
          </c:tx>
          <c:overlay val="0"/>
        </c:title>
        <c:numFmt formatCode="General" sourceLinked="1"/>
        <c:majorTickMark val="out"/>
        <c:minorTickMark val="none"/>
        <c:tickLblPos val="nextTo"/>
        <c:crossAx val="2144712184"/>
        <c:crosses val="autoZero"/>
        <c:crossBetween val="between"/>
      </c:valAx>
    </c:plotArea>
    <c:plotVisOnly val="1"/>
    <c:dispBlanksAs val="gap"/>
    <c:showDLblsOverMax val="0"/>
  </c:chart>
  <c:printSettings>
    <c:headerFooter/>
    <c:pageMargins b="0.750000000000001" l="0.70000000000000095" r="0.70000000000000095" t="0.750000000000001"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cid:image001.png@01D5D50E.B865DEC0" TargetMode="External"/><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cid:image001.png@01D5D50E.B865DEC0" TargetMode="External"/><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a:extLst>
            <a:ext uri="{FF2B5EF4-FFF2-40B4-BE49-F238E27FC236}">
              <a16:creationId xmlns:a16="http://schemas.microsoft.com/office/drawing/2014/main" id="{00000000-0008-0000-0000-000002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a:extLst>
            <a:ext uri="{FF2B5EF4-FFF2-40B4-BE49-F238E27FC236}">
              <a16:creationId xmlns:a16="http://schemas.microsoft.com/office/drawing/2014/main" id="{00000000-0008-0000-0000-000003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a:extLst>
            <a:ext uri="{FF2B5EF4-FFF2-40B4-BE49-F238E27FC236}">
              <a16:creationId xmlns:a16="http://schemas.microsoft.com/office/drawing/2014/main" id="{00000000-0008-0000-0000-000004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504825</xdr:colOff>
      <xdr:row>30</xdr:row>
      <xdr:rowOff>142875</xdr:rowOff>
    </xdr:from>
    <xdr:to>
      <xdr:col>5</xdr:col>
      <xdr:colOff>581025</xdr:colOff>
      <xdr:row>31</xdr:row>
      <xdr:rowOff>133350</xdr:rowOff>
    </xdr:to>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476500" y="5162550"/>
          <a:ext cx="1390650"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a:extLst>
            <a:ext uri="{FF2B5EF4-FFF2-40B4-BE49-F238E27FC236}">
              <a16:creationId xmlns:a16="http://schemas.microsoft.com/office/drawing/2014/main" id="{00000000-0008-0000-0000-000008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a:extLst>
            <a:ext uri="{FF2B5EF4-FFF2-40B4-BE49-F238E27FC236}">
              <a16:creationId xmlns:a16="http://schemas.microsoft.com/office/drawing/2014/main" id="{00000000-0008-0000-0000-000009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a:extLst>
            <a:ext uri="{FF2B5EF4-FFF2-40B4-BE49-F238E27FC236}">
              <a16:creationId xmlns:a16="http://schemas.microsoft.com/office/drawing/2014/main" id="{00000000-0008-0000-0000-00000B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a:extLst>
            <a:ext uri="{FF2B5EF4-FFF2-40B4-BE49-F238E27FC236}">
              <a16:creationId xmlns:a16="http://schemas.microsoft.com/office/drawing/2014/main" id="{00000000-0008-0000-0000-00000C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a:extLst>
            <a:ext uri="{FF2B5EF4-FFF2-40B4-BE49-F238E27FC236}">
              <a16:creationId xmlns:a16="http://schemas.microsoft.com/office/drawing/2014/main" id="{00000000-0008-0000-0000-00000D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a:extLst>
            <a:ext uri="{FF2B5EF4-FFF2-40B4-BE49-F238E27FC236}">
              <a16:creationId xmlns:a16="http://schemas.microsoft.com/office/drawing/2014/main" id="{00000000-0008-0000-0000-00000F000000}"/>
            </a:ext>
          </a:extLst>
        </xdr:cNvPr>
        <xdr:cNvSpPr txBox="1">
          <a:spLocks noChangeArrowheads="1"/>
        </xdr:cNvSpPr>
      </xdr:nvSpPr>
      <xdr:spPr bwMode="auto">
        <a:xfrm>
          <a:off x="1419225" y="323850"/>
          <a:ext cx="3181350" cy="161925"/>
        </a:xfrm>
        <a:prstGeom prst="rect">
          <a:avLst/>
        </a:prstGeom>
        <a:solidFill>
          <a:srgbClr val="FFFFFF"/>
        </a:solidFill>
        <a:ln w="9525">
          <a:noFill/>
          <a:miter lim="800000"/>
          <a:headEnd/>
          <a:tailEnd/>
        </a:ln>
      </xdr:spPr>
      <xdr:txBody>
        <a:bodyPr vertOverflow="clip" wrap="square" lIns="91440" tIns="0" rIns="91440" bIns="0" anchor="t" upright="1"/>
        <a:lstStyle/>
        <a:p>
          <a:pPr algn="ctr" rtl="0">
            <a:defRPr sz="1000"/>
          </a:pPr>
          <a:r>
            <a:rPr lang="en-US" sz="1000" b="1" i="0" strike="noStrike">
              <a:solidFill>
                <a:srgbClr val="969696"/>
              </a:solidFill>
              <a:latin typeface="Arial"/>
              <a:cs typeface="Arial"/>
            </a:rPr>
            <a:t>Controlled Copy</a:t>
          </a:r>
        </a:p>
        <a:p>
          <a:pPr algn="ctr" rtl="0">
            <a:defRPr sz="1000"/>
          </a:pPr>
          <a:endParaRPr lang="en-US" sz="1000" b="1" i="0" strike="noStrike">
            <a:solidFill>
              <a:srgbClr val="969696"/>
            </a:solidFill>
            <a:latin typeface="Arial"/>
            <a:cs typeface="Arial"/>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52499" b="83333"/>
        <a:stretch>
          <a:fillRect/>
        </a:stretch>
      </xdr:blipFill>
      <xdr:spPr bwMode="auto">
        <a:xfrm>
          <a:off x="971550" y="2085975"/>
          <a:ext cx="36290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a:extLst>
            <a:ext uri="{FF2B5EF4-FFF2-40B4-BE49-F238E27FC236}">
              <a16:creationId xmlns:a16="http://schemas.microsoft.com/office/drawing/2014/main" id="{00000000-0008-0000-0000-000011000000}"/>
            </a:ext>
          </a:extLst>
        </xdr:cNvPr>
        <xdr:cNvSpPr>
          <a:spLocks noChangeShapeType="1"/>
        </xdr:cNvSpPr>
      </xdr:nvSpPr>
      <xdr:spPr bwMode="auto">
        <a:xfrm>
          <a:off x="657225" y="323850"/>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a:extLst>
            <a:ext uri="{FF2B5EF4-FFF2-40B4-BE49-F238E27FC236}">
              <a16:creationId xmlns:a16="http://schemas.microsoft.com/office/drawing/2014/main" id="{00000000-0008-0000-0000-000012000000}"/>
            </a:ext>
          </a:extLst>
        </xdr:cNvPr>
        <xdr:cNvSpPr>
          <a:spLocks noChangeShapeType="1"/>
        </xdr:cNvSpPr>
      </xdr:nvSpPr>
      <xdr:spPr bwMode="auto">
        <a:xfrm>
          <a:off x="657225" y="485775"/>
          <a:ext cx="3943350" cy="0"/>
        </a:xfrm>
        <a:prstGeom prst="line">
          <a:avLst/>
        </a:prstGeom>
        <a:noFill/>
        <a:ln w="9525">
          <a:solidFill>
            <a:srgbClr val="969696"/>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142875</xdr:colOff>
      <xdr:row>1</xdr:row>
      <xdr:rowOff>171450</xdr:rowOff>
    </xdr:from>
    <xdr:to>
      <xdr:col>2</xdr:col>
      <xdr:colOff>663261</xdr:colOff>
      <xdr:row>3</xdr:row>
      <xdr:rowOff>2485</xdr:rowOff>
    </xdr:to>
    <xdr:pic>
      <xdr:nvPicPr>
        <xdr:cNvPr id="21" name="Picture 1" descr="cid:image001.png@01D5D50E.B865DEC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2" r:link="rId3">
          <a:extLst>
            <a:ext uri="{28A0092B-C50C-407E-A947-70E740481C1C}">
              <a14:useLocalDpi xmlns:a14="http://schemas.microsoft.com/office/drawing/2010/main" val="0"/>
            </a:ext>
          </a:extLst>
        </a:blip>
        <a:srcRect/>
        <a:stretch>
          <a:fillRect/>
        </a:stretch>
      </xdr:blipFill>
      <xdr:spPr bwMode="auto">
        <a:xfrm>
          <a:off x="447675" y="409575"/>
          <a:ext cx="1044261" cy="288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76200</xdr:rowOff>
    </xdr:from>
    <xdr:to>
      <xdr:col>0</xdr:col>
      <xdr:colOff>1044261</xdr:colOff>
      <xdr:row>0</xdr:row>
      <xdr:rowOff>364435</xdr:rowOff>
    </xdr:to>
    <xdr:pic>
      <xdr:nvPicPr>
        <xdr:cNvPr id="3" name="Picture 1" descr="cid:image001.png@01D5D50E.B865DEC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76200"/>
          <a:ext cx="1044261" cy="288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120336</xdr:colOff>
      <xdr:row>0</xdr:row>
      <xdr:rowOff>288235</xdr:rowOff>
    </xdr:to>
    <xdr:pic>
      <xdr:nvPicPr>
        <xdr:cNvPr id="4" name="Picture 1" descr="cid:image001.png@01D5D50E.B865DEC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0" y="0"/>
          <a:ext cx="1044261" cy="2882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15</xdr:row>
      <xdr:rowOff>104775</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row r="2">
          <cell r="A2" t="str">
            <v>Initiated</v>
          </cell>
          <cell r="B2" t="str">
            <v>High</v>
          </cell>
        </row>
        <row r="3">
          <cell r="A3" t="str">
            <v>Impact Analysis</v>
          </cell>
          <cell r="B3" t="str">
            <v>Medium</v>
          </cell>
        </row>
        <row r="4">
          <cell r="A4" t="str">
            <v>Approved</v>
          </cell>
          <cell r="B4" t="str">
            <v>Low</v>
          </cell>
        </row>
        <row r="5">
          <cell r="A5" t="str">
            <v>Rejected</v>
          </cell>
        </row>
        <row r="6">
          <cell r="A6" t="str">
            <v>Deferred</v>
          </cell>
        </row>
        <row r="7">
          <cell r="A7" t="str">
            <v>Development</v>
          </cell>
        </row>
        <row r="8">
          <cell r="A8" t="str">
            <v>Closed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tabSelected="1" zoomScaleNormal="100" workbookViewId="0"/>
  </sheetViews>
  <sheetFormatPr defaultColWidth="9.85546875" defaultRowHeight="12.75"/>
  <cols>
    <col min="1" max="1" width="4.5703125" style="4" customWidth="1"/>
    <col min="2" max="2" width="7.85546875" style="1" customWidth="1"/>
    <col min="3" max="3" width="11.5703125" style="3" customWidth="1"/>
    <col min="4" max="4" width="19.5703125" style="1" customWidth="1"/>
    <col min="5" max="5" width="19.7109375" style="1" customWidth="1"/>
    <col min="6" max="6" width="27.7109375" style="1" customWidth="1"/>
    <col min="7" max="7" width="17.85546875" style="2" customWidth="1"/>
    <col min="8" max="16384" width="9.85546875" style="1"/>
  </cols>
  <sheetData>
    <row r="1" spans="2:7" ht="18.75" thickBot="1">
      <c r="B1" s="29"/>
      <c r="C1" s="29"/>
      <c r="D1" s="4"/>
      <c r="E1" s="4"/>
      <c r="F1" s="4"/>
      <c r="G1" s="27"/>
    </row>
    <row r="2" spans="2:7" ht="18">
      <c r="B2" s="34"/>
      <c r="C2" s="33"/>
      <c r="D2" s="32"/>
      <c r="E2" s="32"/>
      <c r="F2" s="32"/>
      <c r="G2" s="31"/>
    </row>
    <row r="3" spans="2:7" ht="18">
      <c r="B3" s="30"/>
      <c r="C3" s="29"/>
      <c r="D3" s="4"/>
      <c r="E3" s="4"/>
      <c r="F3" s="4"/>
      <c r="G3" s="22"/>
    </row>
    <row r="4" spans="2:7" ht="18">
      <c r="B4" s="30"/>
      <c r="C4" s="29"/>
      <c r="D4" s="4"/>
      <c r="E4" s="4"/>
      <c r="F4" s="4"/>
      <c r="G4" s="22"/>
    </row>
    <row r="5" spans="2:7" ht="18">
      <c r="B5" s="30"/>
      <c r="C5" s="29"/>
      <c r="D5" s="4"/>
      <c r="E5" s="4"/>
      <c r="F5" s="4"/>
      <c r="G5" s="22"/>
    </row>
    <row r="6" spans="2:7" ht="20.25" customHeight="1">
      <c r="B6" s="85"/>
      <c r="C6" s="86"/>
      <c r="D6" s="86"/>
      <c r="E6" s="86"/>
      <c r="F6" s="86"/>
      <c r="G6" s="87"/>
    </row>
    <row r="7" spans="2:7" ht="21" customHeight="1">
      <c r="B7" s="85"/>
      <c r="C7" s="86"/>
      <c r="D7" s="86"/>
      <c r="E7" s="86"/>
      <c r="F7" s="86"/>
      <c r="G7" s="87"/>
    </row>
    <row r="8" spans="2:7" ht="29.25" customHeight="1">
      <c r="B8" s="91" t="s">
        <v>0</v>
      </c>
      <c r="C8" s="92"/>
      <c r="D8" s="92"/>
      <c r="E8" s="92"/>
      <c r="F8" s="92"/>
      <c r="G8" s="93"/>
    </row>
    <row r="9" spans="2:7" ht="29.25" customHeight="1">
      <c r="B9" s="91"/>
      <c r="C9" s="92"/>
      <c r="D9" s="92"/>
      <c r="E9" s="92"/>
      <c r="F9" s="92"/>
      <c r="G9" s="93"/>
    </row>
    <row r="10" spans="2:7" ht="55.5" customHeight="1">
      <c r="B10" s="85" t="s">
        <v>1</v>
      </c>
      <c r="C10" s="86"/>
      <c r="D10" s="86"/>
      <c r="E10" s="86"/>
      <c r="F10" s="86"/>
      <c r="G10" s="87"/>
    </row>
    <row r="11" spans="2:7" ht="18.75" customHeight="1">
      <c r="B11" s="88"/>
      <c r="C11" s="89"/>
      <c r="D11" s="89"/>
      <c r="E11" s="89"/>
      <c r="F11" s="89"/>
      <c r="G11" s="90"/>
    </row>
    <row r="12" spans="2:7" ht="20.25">
      <c r="B12" s="79"/>
      <c r="C12" s="80"/>
      <c r="D12" s="80"/>
      <c r="E12" s="80"/>
      <c r="F12" s="80"/>
      <c r="G12" s="81"/>
    </row>
    <row r="13" spans="2:7">
      <c r="B13" s="28"/>
      <c r="C13" s="27"/>
      <c r="D13" s="27"/>
      <c r="E13" s="27"/>
      <c r="F13" s="27"/>
      <c r="G13" s="25"/>
    </row>
    <row r="14" spans="2:7">
      <c r="B14" s="15"/>
      <c r="C14" s="61"/>
      <c r="D14" s="4"/>
      <c r="E14" s="4"/>
      <c r="F14" s="4"/>
      <c r="G14" s="25"/>
    </row>
    <row r="15" spans="2:7">
      <c r="B15" s="15"/>
      <c r="C15" s="61"/>
      <c r="D15" s="4"/>
      <c r="E15" s="4"/>
      <c r="F15" s="4"/>
      <c r="G15" s="25"/>
    </row>
    <row r="16" spans="2:7">
      <c r="B16" s="15"/>
      <c r="C16" s="61"/>
      <c r="D16" s="4"/>
      <c r="E16" s="4"/>
      <c r="F16" s="4"/>
      <c r="G16" s="25"/>
    </row>
    <row r="17" spans="1:8">
      <c r="B17" s="15"/>
      <c r="C17" s="61"/>
      <c r="D17" s="4"/>
      <c r="E17" s="4"/>
      <c r="F17" s="4"/>
      <c r="G17" s="25"/>
    </row>
    <row r="18" spans="1:8">
      <c r="B18" s="15"/>
      <c r="C18" s="61"/>
      <c r="D18" s="4"/>
      <c r="E18" s="4"/>
      <c r="F18" s="4"/>
      <c r="G18" s="25"/>
    </row>
    <row r="19" spans="1:8">
      <c r="B19" s="15"/>
      <c r="C19" s="61"/>
      <c r="D19" s="4"/>
      <c r="E19" s="4"/>
      <c r="F19" s="4"/>
      <c r="G19" s="25"/>
    </row>
    <row r="20" spans="1:8" ht="14.25">
      <c r="B20" s="82"/>
      <c r="C20" s="83"/>
      <c r="D20" s="83"/>
      <c r="E20" s="83"/>
      <c r="F20" s="83"/>
      <c r="G20" s="84"/>
      <c r="H20" s="26"/>
    </row>
    <row r="21" spans="1:8">
      <c r="B21" s="15"/>
      <c r="C21" s="61"/>
      <c r="D21" s="4"/>
      <c r="E21" s="4"/>
      <c r="F21" s="4"/>
      <c r="G21" s="25"/>
    </row>
    <row r="22" spans="1:8">
      <c r="B22" s="15"/>
      <c r="C22" s="61"/>
      <c r="D22" s="4"/>
      <c r="E22" s="4"/>
      <c r="F22" s="4"/>
      <c r="G22" s="25"/>
    </row>
    <row r="23" spans="1:8">
      <c r="B23" s="15"/>
      <c r="C23" s="61"/>
      <c r="D23" s="4"/>
      <c r="E23" s="4"/>
      <c r="F23" s="4"/>
      <c r="G23" s="25"/>
    </row>
    <row r="24" spans="1:8" ht="25.5">
      <c r="B24" s="15"/>
      <c r="C24" s="24"/>
      <c r="D24" s="24" t="s">
        <v>2</v>
      </c>
      <c r="E24" s="24" t="s">
        <v>3</v>
      </c>
      <c r="F24" s="24" t="s">
        <v>4</v>
      </c>
      <c r="G24" s="22"/>
      <c r="H24" s="4"/>
    </row>
    <row r="25" spans="1:8" ht="21" customHeight="1">
      <c r="B25" s="15"/>
      <c r="C25" s="23" t="s">
        <v>5</v>
      </c>
      <c r="D25" s="60" t="s">
        <v>6</v>
      </c>
      <c r="E25" s="60"/>
      <c r="F25" s="60"/>
      <c r="G25" s="22"/>
      <c r="H25" s="4"/>
    </row>
    <row r="26" spans="1:8" ht="21" customHeight="1">
      <c r="B26" s="15"/>
      <c r="C26" s="23" t="s">
        <v>7</v>
      </c>
      <c r="D26" s="60"/>
      <c r="E26" s="60"/>
      <c r="F26" s="60"/>
      <c r="G26" s="22"/>
      <c r="H26" s="4"/>
    </row>
    <row r="27" spans="1:8" ht="21" customHeight="1">
      <c r="B27" s="15"/>
      <c r="C27" s="23" t="s">
        <v>8</v>
      </c>
      <c r="D27" s="62"/>
      <c r="E27" s="62"/>
      <c r="F27" s="62"/>
      <c r="G27" s="22"/>
      <c r="H27" s="4"/>
    </row>
    <row r="28" spans="1:8" ht="21" customHeight="1">
      <c r="B28" s="15"/>
      <c r="C28" s="23" t="s">
        <v>9</v>
      </c>
      <c r="D28" s="63"/>
      <c r="E28" s="63"/>
      <c r="F28" s="63"/>
      <c r="G28" s="22"/>
      <c r="H28" s="4"/>
    </row>
    <row r="29" spans="1:8" s="16" customFormat="1">
      <c r="A29" s="18"/>
      <c r="B29" s="15"/>
      <c r="C29" s="21"/>
      <c r="D29" s="4"/>
      <c r="E29" s="4"/>
      <c r="F29" s="18"/>
      <c r="G29" s="17"/>
    </row>
    <row r="30" spans="1:8" s="16" customFormat="1">
      <c r="A30" s="18"/>
      <c r="B30" s="20"/>
      <c r="C30" s="19"/>
      <c r="D30" s="4"/>
      <c r="E30" s="4"/>
      <c r="F30" s="18"/>
      <c r="G30" s="17"/>
    </row>
    <row r="31" spans="1:8">
      <c r="B31" s="15"/>
      <c r="C31" s="14"/>
      <c r="D31" s="64"/>
      <c r="E31" s="64"/>
      <c r="F31" s="64"/>
      <c r="G31" s="65"/>
    </row>
    <row r="32" spans="1:8" ht="13.5" thickBot="1">
      <c r="B32" s="13" t="s">
        <v>10</v>
      </c>
      <c r="C32" s="12"/>
      <c r="D32" s="11"/>
      <c r="E32" s="11"/>
      <c r="F32" s="10" t="s">
        <v>11</v>
      </c>
      <c r="G32" s="9"/>
    </row>
    <row r="33" spans="2:4" ht="12.75" customHeight="1">
      <c r="C33" s="66"/>
    </row>
    <row r="34" spans="2:4">
      <c r="B34" s="8"/>
      <c r="C34" s="7"/>
      <c r="D34" s="6"/>
    </row>
    <row r="35" spans="2:4">
      <c r="B35" s="5"/>
      <c r="C35" s="66"/>
    </row>
  </sheetData>
  <sheetProtection selectLockedCells="1"/>
  <mergeCells count="6">
    <mergeCell ref="B12:G12"/>
    <mergeCell ref="B20:G20"/>
    <mergeCell ref="B6:G7"/>
    <mergeCell ref="B10:G10"/>
    <mergeCell ref="B11:G11"/>
    <mergeCell ref="B8:G9"/>
  </mergeCells>
  <pageMargins left="0.75" right="0.75" top="1" bottom="1" header="0.5" footer="0.5"/>
  <pageSetup scale="94" orientation="portrait" r:id="rId1"/>
  <headerFooter alignWithMargins="0">
    <oddFooter>&amp;RPage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3"/>
  <sheetViews>
    <sheetView zoomScaleNormal="100" workbookViewId="0">
      <selection activeCell="B1" sqref="B1:H1"/>
    </sheetView>
  </sheetViews>
  <sheetFormatPr defaultColWidth="9.85546875" defaultRowHeight="12.75"/>
  <cols>
    <col min="1" max="1" width="15.7109375" style="38" customWidth="1"/>
    <col min="2" max="2" width="7.85546875" style="36" customWidth="1"/>
    <col min="3" max="3" width="41.42578125" style="36" customWidth="1"/>
    <col min="4" max="4" width="86.5703125" style="36" customWidth="1"/>
    <col min="5" max="5" width="15.85546875" style="36" customWidth="1"/>
    <col min="6" max="6" width="22.7109375" style="37" bestFit="1" customWidth="1"/>
    <col min="7" max="16384" width="9.85546875" style="36"/>
  </cols>
  <sheetData>
    <row r="1" spans="2:15" s="35" customFormat="1" ht="57" customHeight="1" thickBot="1">
      <c r="B1" s="96" t="s">
        <v>12</v>
      </c>
      <c r="C1" s="97"/>
      <c r="D1" s="97"/>
      <c r="E1" s="97"/>
      <c r="F1" s="97"/>
      <c r="G1" s="97"/>
      <c r="H1" s="97"/>
      <c r="I1" s="67"/>
      <c r="J1" s="67"/>
      <c r="K1" s="67"/>
      <c r="L1" s="67"/>
      <c r="M1" s="67"/>
      <c r="N1" s="68"/>
      <c r="O1" s="68"/>
    </row>
    <row r="2" spans="2:15" ht="13.5" thickTop="1">
      <c r="B2" s="69"/>
      <c r="C2" s="69"/>
      <c r="D2" s="69"/>
      <c r="E2" s="69"/>
      <c r="F2" s="70"/>
      <c r="G2" s="69"/>
      <c r="H2" s="69"/>
      <c r="I2" s="69"/>
      <c r="J2" s="69"/>
      <c r="K2" s="69"/>
      <c r="L2" s="69"/>
      <c r="M2" s="69"/>
      <c r="N2" s="69"/>
      <c r="O2" s="69"/>
    </row>
    <row r="3" spans="2:15" ht="3" customHeight="1">
      <c r="B3" s="69"/>
      <c r="C3" s="69"/>
      <c r="D3" s="69"/>
      <c r="E3" s="69"/>
      <c r="F3" s="70"/>
      <c r="G3" s="69"/>
      <c r="H3" s="69"/>
      <c r="I3" s="69"/>
      <c r="J3" s="69"/>
      <c r="K3" s="69"/>
      <c r="L3" s="69"/>
      <c r="M3" s="69"/>
      <c r="N3" s="69"/>
      <c r="O3" s="69"/>
    </row>
    <row r="4" spans="2:15" ht="29.1" customHeight="1">
      <c r="B4" s="69"/>
      <c r="C4" s="94" t="s">
        <v>13</v>
      </c>
      <c r="D4" s="95"/>
      <c r="E4" s="69"/>
      <c r="F4" s="70"/>
      <c r="G4" s="69"/>
      <c r="H4" s="69"/>
      <c r="I4" s="69"/>
      <c r="J4" s="69"/>
      <c r="K4" s="69"/>
      <c r="L4" s="69"/>
      <c r="M4" s="69"/>
      <c r="N4" s="69"/>
      <c r="O4" s="69"/>
    </row>
    <row r="5" spans="2:15">
      <c r="B5" s="69"/>
      <c r="C5" s="71" t="s">
        <v>14</v>
      </c>
      <c r="D5" s="71"/>
      <c r="E5" s="69"/>
      <c r="F5" s="70"/>
      <c r="G5" s="69"/>
      <c r="H5" s="69"/>
      <c r="I5" s="69"/>
      <c r="J5" s="69"/>
      <c r="K5" s="69"/>
      <c r="L5" s="69"/>
      <c r="M5" s="69"/>
      <c r="N5" s="69"/>
      <c r="O5" s="69"/>
    </row>
    <row r="6" spans="2:15" ht="93.75" customHeight="1">
      <c r="B6" s="69"/>
      <c r="C6" s="98" t="s">
        <v>15</v>
      </c>
      <c r="D6" s="99"/>
      <c r="E6" s="69"/>
      <c r="F6" s="70"/>
      <c r="G6" s="69"/>
      <c r="H6" s="69"/>
      <c r="I6" s="69"/>
      <c r="J6" s="69"/>
      <c r="K6" s="69"/>
      <c r="L6" s="69"/>
      <c r="M6" s="69"/>
      <c r="N6" s="69"/>
      <c r="O6" s="69"/>
    </row>
    <row r="7" spans="2:15" ht="25.5">
      <c r="B7" s="69"/>
      <c r="C7" s="41" t="s">
        <v>16</v>
      </c>
      <c r="D7" s="72" t="s">
        <v>17</v>
      </c>
      <c r="E7" s="69"/>
      <c r="F7" s="70"/>
      <c r="G7" s="69"/>
      <c r="H7" s="69"/>
      <c r="I7" s="69"/>
      <c r="J7" s="69"/>
      <c r="K7" s="69"/>
      <c r="L7" s="69"/>
      <c r="M7" s="69"/>
      <c r="N7" s="69"/>
      <c r="O7" s="69"/>
    </row>
    <row r="8" spans="2:15" ht="51">
      <c r="B8" s="69"/>
      <c r="C8" s="41" t="s">
        <v>18</v>
      </c>
      <c r="D8" s="72" t="s">
        <v>19</v>
      </c>
      <c r="E8" s="69"/>
      <c r="F8" s="70"/>
      <c r="G8" s="69"/>
      <c r="H8" s="69"/>
      <c r="I8" s="69"/>
      <c r="J8" s="69"/>
      <c r="K8" s="69"/>
      <c r="L8" s="69"/>
      <c r="M8" s="69"/>
      <c r="N8" s="69"/>
      <c r="O8" s="69"/>
    </row>
    <row r="9" spans="2:15" ht="76.5">
      <c r="B9" s="69"/>
      <c r="C9" s="41" t="s">
        <v>20</v>
      </c>
      <c r="D9" s="72" t="s">
        <v>21</v>
      </c>
      <c r="E9" s="69"/>
      <c r="F9" s="70"/>
      <c r="G9" s="69"/>
      <c r="H9" s="69"/>
      <c r="I9" s="69"/>
      <c r="J9" s="69"/>
      <c r="K9" s="69"/>
      <c r="L9" s="69"/>
      <c r="M9" s="69"/>
      <c r="N9" s="69"/>
      <c r="O9" s="69"/>
    </row>
    <row r="10" spans="2:15" ht="38.25">
      <c r="B10" s="69"/>
      <c r="C10" s="41" t="s">
        <v>22</v>
      </c>
      <c r="D10" s="72" t="s">
        <v>23</v>
      </c>
      <c r="E10" s="69"/>
      <c r="F10" s="70"/>
      <c r="G10" s="69"/>
      <c r="H10" s="69"/>
      <c r="I10" s="69"/>
      <c r="J10" s="69"/>
      <c r="K10" s="69"/>
      <c r="L10" s="69"/>
      <c r="M10" s="69"/>
      <c r="N10" s="69"/>
      <c r="O10" s="69"/>
    </row>
    <row r="11" spans="2:15" ht="76.5">
      <c r="B11" s="69"/>
      <c r="C11" s="41" t="s">
        <v>24</v>
      </c>
      <c r="D11" s="72" t="s">
        <v>25</v>
      </c>
      <c r="E11" s="69"/>
      <c r="F11" s="70"/>
      <c r="G11" s="69"/>
      <c r="H11" s="69"/>
      <c r="I11" s="69"/>
      <c r="J11" s="69"/>
      <c r="K11" s="69"/>
      <c r="L11" s="69"/>
      <c r="M11" s="69"/>
      <c r="N11" s="69"/>
      <c r="O11" s="69"/>
    </row>
    <row r="12" spans="2:15" ht="38.25">
      <c r="B12" s="69"/>
      <c r="C12" s="41" t="s">
        <v>26</v>
      </c>
      <c r="D12" s="73" t="s">
        <v>27</v>
      </c>
      <c r="E12" s="69"/>
      <c r="F12" s="70"/>
      <c r="G12" s="69"/>
      <c r="H12" s="69"/>
      <c r="I12" s="69"/>
      <c r="J12" s="69"/>
      <c r="K12" s="69"/>
      <c r="L12" s="69"/>
      <c r="M12" s="69"/>
      <c r="N12" s="69"/>
      <c r="O12" s="69"/>
    </row>
    <row r="13" spans="2:15" ht="51">
      <c r="B13" s="69"/>
      <c r="C13" s="41" t="s">
        <v>28</v>
      </c>
      <c r="D13" s="73" t="s">
        <v>29</v>
      </c>
      <c r="E13" s="69"/>
      <c r="F13" s="70"/>
      <c r="G13" s="69"/>
      <c r="H13" s="69"/>
      <c r="I13" s="69"/>
      <c r="J13" s="69"/>
      <c r="K13" s="69"/>
      <c r="L13" s="69"/>
      <c r="M13" s="69"/>
      <c r="N13" s="69"/>
      <c r="O13" s="69"/>
    </row>
    <row r="14" spans="2:15">
      <c r="B14" s="69"/>
      <c r="C14" s="41" t="s">
        <v>30</v>
      </c>
      <c r="D14" s="74" t="s">
        <v>31</v>
      </c>
      <c r="E14" s="69"/>
      <c r="F14" s="70"/>
      <c r="G14" s="69"/>
      <c r="H14" s="69"/>
      <c r="I14" s="69"/>
      <c r="J14" s="69"/>
      <c r="K14" s="69"/>
      <c r="L14" s="69"/>
      <c r="M14" s="69"/>
      <c r="N14" s="69"/>
      <c r="O14" s="69"/>
    </row>
    <row r="15" spans="2:15">
      <c r="B15" s="69"/>
      <c r="C15" s="41" t="s">
        <v>32</v>
      </c>
      <c r="D15" s="74" t="s">
        <v>33</v>
      </c>
      <c r="E15" s="69"/>
      <c r="F15" s="70"/>
      <c r="G15" s="69"/>
      <c r="H15" s="69"/>
      <c r="I15" s="69"/>
      <c r="J15" s="69"/>
      <c r="K15" s="69"/>
      <c r="L15" s="69"/>
      <c r="M15" s="69"/>
      <c r="N15" s="69"/>
      <c r="O15" s="69"/>
    </row>
    <row r="16" spans="2:15">
      <c r="B16" s="69"/>
      <c r="C16" s="41" t="s">
        <v>34</v>
      </c>
      <c r="D16" s="74" t="s">
        <v>35</v>
      </c>
      <c r="E16" s="69"/>
      <c r="F16" s="70"/>
      <c r="G16" s="69"/>
      <c r="H16" s="69"/>
      <c r="I16" s="69"/>
      <c r="J16" s="69"/>
      <c r="K16" s="69"/>
      <c r="L16" s="69"/>
      <c r="M16" s="69"/>
      <c r="N16" s="69"/>
      <c r="O16" s="69"/>
    </row>
    <row r="17" spans="1:4" ht="25.5">
      <c r="A17" s="75"/>
      <c r="B17" s="69"/>
      <c r="C17" s="41" t="s">
        <v>36</v>
      </c>
      <c r="D17" s="76" t="s">
        <v>37</v>
      </c>
    </row>
    <row r="19" spans="1:4" ht="29.1" customHeight="1">
      <c r="A19" s="75"/>
      <c r="B19" s="69"/>
      <c r="C19" s="94" t="s">
        <v>38</v>
      </c>
      <c r="D19" s="95"/>
    </row>
    <row r="20" spans="1:4" ht="25.5">
      <c r="A20" s="75"/>
      <c r="B20" s="69"/>
      <c r="C20" s="42" t="s">
        <v>26</v>
      </c>
      <c r="D20" s="74" t="s">
        <v>39</v>
      </c>
    </row>
    <row r="21" spans="1:4" ht="39" customHeight="1">
      <c r="A21" s="75"/>
      <c r="B21" s="69"/>
      <c r="C21" s="43" t="s">
        <v>40</v>
      </c>
      <c r="D21" s="74" t="s">
        <v>41</v>
      </c>
    </row>
    <row r="22" spans="1:4" ht="46.5" customHeight="1">
      <c r="A22" s="75"/>
      <c r="B22" s="69"/>
      <c r="C22" s="42" t="s">
        <v>30</v>
      </c>
      <c r="D22" s="74" t="s">
        <v>42</v>
      </c>
    </row>
    <row r="23" spans="1:4" ht="38.25">
      <c r="A23" s="75"/>
      <c r="B23" s="69"/>
      <c r="C23" s="42" t="s">
        <v>43</v>
      </c>
      <c r="D23" s="74" t="s">
        <v>44</v>
      </c>
    </row>
    <row r="24" spans="1:4" ht="25.5">
      <c r="A24" s="39"/>
      <c r="B24" s="40"/>
      <c r="C24" s="42" t="s">
        <v>45</v>
      </c>
      <c r="D24" s="74" t="s">
        <v>46</v>
      </c>
    </row>
    <row r="25" spans="1:4" ht="127.5">
      <c r="A25" s="75"/>
      <c r="B25" s="69"/>
      <c r="C25" s="42" t="s">
        <v>47</v>
      </c>
      <c r="D25" s="74" t="s">
        <v>48</v>
      </c>
    </row>
    <row r="28" spans="1:4" ht="354.75" customHeight="1">
      <c r="A28" s="75"/>
      <c r="B28" s="69"/>
      <c r="C28" s="69"/>
      <c r="D28" s="69"/>
    </row>
    <row r="32" spans="1:4" ht="360.75" customHeight="1">
      <c r="A32" s="75"/>
      <c r="B32" s="69"/>
      <c r="C32" s="69"/>
      <c r="D32" s="69"/>
    </row>
    <row r="34" ht="153" customHeight="1"/>
    <row r="37" ht="33" customHeight="1"/>
    <row r="38" ht="33" customHeight="1"/>
    <row r="39" ht="25.5" customHeight="1"/>
    <row r="40" ht="25.5" customHeight="1"/>
    <row r="41" ht="18" customHeight="1"/>
    <row r="42" ht="25.5" customHeight="1"/>
    <row r="43" ht="25.5" customHeight="1"/>
  </sheetData>
  <sheetProtection selectLockedCells="1" selectUnlockedCells="1"/>
  <mergeCells count="4">
    <mergeCell ref="C19:D19"/>
    <mergeCell ref="B1:H1"/>
    <mergeCell ref="C4:D4"/>
    <mergeCell ref="C6:D6"/>
  </mergeCells>
  <dataValidations count="2">
    <dataValidation type="list" allowBlank="1" showInputMessage="1" showErrorMessage="1" sqref="D1:G1" xr:uid="{00000000-0002-0000-0100-000000000000}">
      <formula1>"Simple,Average,Complex"</formula1>
    </dataValidation>
    <dataValidation type="list" allowBlank="1" showInputMessage="1" showErrorMessage="1" sqref="H1" xr:uid="{00000000-0002-0000-0100-000001000000}">
      <formula1>"Functional, External Interface, User Interface,System Interface, Non functional"</formula1>
    </dataValidation>
  </dataValidations>
  <pageMargins left="0.75" right="0.75" top="1" bottom="1" header="0.5" footer="0.5"/>
  <pageSetup paperSize="9" orientation="portrait" r:id="rId1"/>
  <headerFooter alignWithMargins="0">
    <oddFooter>&amp;RPage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8"/>
  <sheetViews>
    <sheetView zoomScaleNormal="100" workbookViewId="0">
      <pane ySplit="3" topLeftCell="A4" activePane="bottomLeft" state="frozen"/>
      <selection pane="bottomLeft" activeCell="A4" sqref="A4"/>
    </sheetView>
  </sheetViews>
  <sheetFormatPr defaultColWidth="8.85546875" defaultRowHeight="12"/>
  <cols>
    <col min="1" max="1" width="13.85546875" style="45" customWidth="1"/>
    <col min="2" max="3" width="17.42578125" style="45" customWidth="1"/>
    <col min="4" max="4" width="20" style="45" customWidth="1"/>
    <col min="5" max="5" width="40.42578125" style="45" customWidth="1"/>
    <col min="6" max="7" width="14.85546875" style="45" bestFit="1" customWidth="1"/>
    <col min="8" max="8" width="14.85546875" style="45" customWidth="1"/>
    <col min="9" max="9" width="8.85546875" style="45"/>
    <col min="10" max="10" width="8.28515625" style="46" customWidth="1"/>
    <col min="11" max="11" width="7.7109375" style="45" customWidth="1"/>
    <col min="12" max="16384" width="8.85546875" style="45"/>
  </cols>
  <sheetData>
    <row r="1" spans="1:14" s="44" customFormat="1" ht="57" customHeight="1" thickBot="1">
      <c r="A1" s="100" t="s">
        <v>49</v>
      </c>
      <c r="B1" s="100"/>
      <c r="C1" s="100"/>
      <c r="D1" s="100"/>
      <c r="E1" s="100"/>
      <c r="F1" s="100"/>
      <c r="G1" s="100"/>
      <c r="H1" s="56"/>
      <c r="I1" s="77"/>
      <c r="J1" s="77"/>
      <c r="K1" s="77"/>
      <c r="L1" s="77"/>
      <c r="M1" s="78"/>
      <c r="N1" s="78"/>
    </row>
    <row r="2" spans="1:14" s="55" customFormat="1" ht="15.75" customHeight="1" thickTop="1">
      <c r="A2" s="102"/>
      <c r="B2" s="102"/>
      <c r="C2" s="102"/>
      <c r="D2" s="102"/>
      <c r="E2" s="102"/>
      <c r="F2" s="102"/>
      <c r="G2" s="102"/>
      <c r="H2" s="103"/>
      <c r="I2" s="101" t="s">
        <v>30</v>
      </c>
      <c r="J2" s="101"/>
      <c r="K2" s="101"/>
      <c r="L2" s="101"/>
      <c r="M2" s="47"/>
    </row>
    <row r="3" spans="1:14" s="47" customFormat="1" ht="38.25">
      <c r="A3" s="112" t="s">
        <v>50</v>
      </c>
      <c r="B3" s="112" t="s">
        <v>18</v>
      </c>
      <c r="C3" s="112" t="s">
        <v>20</v>
      </c>
      <c r="D3" s="112" t="s">
        <v>22</v>
      </c>
      <c r="E3" s="112" t="s">
        <v>24</v>
      </c>
      <c r="F3" s="112" t="s">
        <v>51</v>
      </c>
      <c r="G3" s="59" t="s">
        <v>26</v>
      </c>
      <c r="H3" s="59" t="s">
        <v>52</v>
      </c>
      <c r="I3" s="57" t="s">
        <v>30</v>
      </c>
      <c r="J3" s="57" t="s">
        <v>32</v>
      </c>
      <c r="K3" s="57" t="s">
        <v>34</v>
      </c>
      <c r="L3" s="57" t="s">
        <v>36</v>
      </c>
    </row>
    <row r="4" spans="1:14" ht="63.75">
      <c r="A4" s="113" t="s">
        <v>53</v>
      </c>
      <c r="B4" s="113" t="s">
        <v>54</v>
      </c>
      <c r="C4" s="113" t="s">
        <v>55</v>
      </c>
      <c r="D4" s="113" t="s">
        <v>56</v>
      </c>
      <c r="E4" s="113" t="s">
        <v>57</v>
      </c>
      <c r="F4" s="113" t="s">
        <v>58</v>
      </c>
    </row>
    <row r="5" spans="1:14" ht="409.6">
      <c r="A5" s="113" t="s">
        <v>59</v>
      </c>
      <c r="B5" s="113" t="s">
        <v>60</v>
      </c>
      <c r="C5" s="113" t="s">
        <v>61</v>
      </c>
      <c r="D5" s="113" t="s">
        <v>62</v>
      </c>
      <c r="E5" s="113" t="s">
        <v>63</v>
      </c>
      <c r="F5" s="113" t="s">
        <v>58</v>
      </c>
    </row>
    <row r="6" spans="1:14" ht="76.5">
      <c r="A6" s="113" t="s">
        <v>64</v>
      </c>
      <c r="B6" s="113" t="s">
        <v>65</v>
      </c>
      <c r="C6" s="113" t="s">
        <v>61</v>
      </c>
      <c r="D6" s="113" t="s">
        <v>66</v>
      </c>
      <c r="E6" s="113" t="s">
        <v>67</v>
      </c>
      <c r="F6" s="113" t="s">
        <v>58</v>
      </c>
    </row>
    <row r="7" spans="1:14" ht="76.5">
      <c r="A7" s="113" t="s">
        <v>68</v>
      </c>
      <c r="B7" s="113" t="s">
        <v>69</v>
      </c>
      <c r="C7" s="113" t="s">
        <v>70</v>
      </c>
      <c r="D7" s="113" t="s">
        <v>71</v>
      </c>
      <c r="E7" s="113" t="s">
        <v>72</v>
      </c>
      <c r="F7" s="113" t="s">
        <v>58</v>
      </c>
    </row>
    <row r="8" spans="1:14" ht="51">
      <c r="A8" s="113" t="s">
        <v>73</v>
      </c>
      <c r="B8" s="113" t="s">
        <v>74</v>
      </c>
      <c r="C8" s="113" t="s">
        <v>70</v>
      </c>
      <c r="D8" s="113" t="s">
        <v>75</v>
      </c>
      <c r="E8" s="113" t="s">
        <v>76</v>
      </c>
      <c r="F8" s="113" t="s">
        <v>58</v>
      </c>
      <c r="J8" s="45"/>
    </row>
    <row r="9" spans="1:14" ht="102">
      <c r="A9" s="113" t="s">
        <v>77</v>
      </c>
      <c r="B9" s="113" t="s">
        <v>78</v>
      </c>
      <c r="C9" s="113" t="s">
        <v>70</v>
      </c>
      <c r="D9" s="113" t="s">
        <v>79</v>
      </c>
      <c r="E9" s="113" t="s">
        <v>80</v>
      </c>
      <c r="F9" s="113" t="s">
        <v>81</v>
      </c>
      <c r="J9" s="45"/>
    </row>
    <row r="10" spans="1:14" ht="409.6">
      <c r="A10" s="113" t="s">
        <v>82</v>
      </c>
      <c r="B10" s="113" t="s">
        <v>83</v>
      </c>
      <c r="C10" s="113" t="s">
        <v>70</v>
      </c>
      <c r="D10" s="113" t="s">
        <v>84</v>
      </c>
      <c r="E10" s="113" t="s">
        <v>85</v>
      </c>
      <c r="F10" s="113" t="s">
        <v>58</v>
      </c>
      <c r="J10" s="45"/>
    </row>
    <row r="11" spans="1:14" ht="280.5">
      <c r="A11" s="113" t="s">
        <v>86</v>
      </c>
      <c r="B11" s="113" t="s">
        <v>87</v>
      </c>
      <c r="C11" s="113" t="s">
        <v>88</v>
      </c>
      <c r="D11" s="113" t="s">
        <v>89</v>
      </c>
      <c r="E11" s="113" t="s">
        <v>90</v>
      </c>
      <c r="F11" s="113" t="s">
        <v>58</v>
      </c>
    </row>
    <row r="12" spans="1:14" ht="191.25">
      <c r="A12" s="113" t="s">
        <v>91</v>
      </c>
      <c r="B12" s="113" t="s">
        <v>92</v>
      </c>
      <c r="C12" s="113" t="s">
        <v>88</v>
      </c>
      <c r="D12" s="113" t="s">
        <v>93</v>
      </c>
      <c r="E12" s="113" t="s">
        <v>94</v>
      </c>
      <c r="F12" s="113" t="s">
        <v>81</v>
      </c>
    </row>
    <row r="13" spans="1:14" ht="255">
      <c r="A13" s="113" t="s">
        <v>95</v>
      </c>
      <c r="B13" s="113" t="s">
        <v>96</v>
      </c>
      <c r="C13" s="113" t="s">
        <v>88</v>
      </c>
      <c r="D13" s="113" t="s">
        <v>97</v>
      </c>
      <c r="E13" s="113" t="s">
        <v>98</v>
      </c>
      <c r="F13" s="113" t="s">
        <v>81</v>
      </c>
    </row>
    <row r="14" spans="1:14" ht="153">
      <c r="A14" s="113" t="s">
        <v>99</v>
      </c>
      <c r="B14" s="113" t="s">
        <v>100</v>
      </c>
      <c r="C14" s="113" t="s">
        <v>70</v>
      </c>
      <c r="D14" s="113" t="s">
        <v>101</v>
      </c>
      <c r="E14" s="113" t="s">
        <v>102</v>
      </c>
      <c r="F14" s="113" t="s">
        <v>81</v>
      </c>
    </row>
    <row r="15" spans="1:14" ht="51">
      <c r="A15" s="113" t="s">
        <v>103</v>
      </c>
      <c r="B15" s="113" t="s">
        <v>104</v>
      </c>
      <c r="C15" s="113" t="s">
        <v>88</v>
      </c>
      <c r="D15" s="113" t="s">
        <v>105</v>
      </c>
      <c r="E15" s="113" t="s">
        <v>106</v>
      </c>
      <c r="F15" s="113" t="s">
        <v>81</v>
      </c>
    </row>
    <row r="16" spans="1:14" ht="38.25">
      <c r="A16" s="113" t="s">
        <v>107</v>
      </c>
      <c r="B16" s="113" t="s">
        <v>108</v>
      </c>
      <c r="C16" s="113" t="s">
        <v>70</v>
      </c>
      <c r="D16" s="113" t="s">
        <v>109</v>
      </c>
      <c r="E16" s="113" t="s">
        <v>110</v>
      </c>
      <c r="F16" s="113" t="s">
        <v>58</v>
      </c>
    </row>
    <row r="17" spans="1:6" ht="89.25">
      <c r="A17" s="113" t="s">
        <v>111</v>
      </c>
      <c r="B17" s="113" t="s">
        <v>112</v>
      </c>
      <c r="C17" s="113" t="s">
        <v>88</v>
      </c>
      <c r="D17" s="113" t="s">
        <v>113</v>
      </c>
      <c r="E17" s="113" t="s">
        <v>114</v>
      </c>
      <c r="F17" s="113" t="s">
        <v>58</v>
      </c>
    </row>
    <row r="18" spans="1:6" ht="38.25">
      <c r="A18" s="113" t="s">
        <v>115</v>
      </c>
      <c r="B18" s="113" t="s">
        <v>116</v>
      </c>
      <c r="C18" s="113" t="s">
        <v>88</v>
      </c>
      <c r="D18" s="113" t="s">
        <v>117</v>
      </c>
      <c r="E18" s="113" t="s">
        <v>118</v>
      </c>
      <c r="F18" s="113" t="s">
        <v>119</v>
      </c>
    </row>
    <row r="19" spans="1:6" ht="89.25">
      <c r="A19" s="113" t="s">
        <v>120</v>
      </c>
      <c r="B19" s="113" t="s">
        <v>121</v>
      </c>
      <c r="C19" s="113" t="s">
        <v>70</v>
      </c>
      <c r="D19" s="113" t="s">
        <v>122</v>
      </c>
      <c r="E19" s="113" t="s">
        <v>123</v>
      </c>
      <c r="F19" s="113" t="s">
        <v>119</v>
      </c>
    </row>
    <row r="20" spans="1:6" ht="38.25">
      <c r="A20" s="113" t="s">
        <v>124</v>
      </c>
      <c r="B20" s="113" t="s">
        <v>125</v>
      </c>
      <c r="C20" s="113" t="s">
        <v>70</v>
      </c>
      <c r="D20" s="113" t="s">
        <v>126</v>
      </c>
      <c r="E20" s="113" t="s">
        <v>127</v>
      </c>
      <c r="F20" s="113" t="s">
        <v>119</v>
      </c>
    </row>
    <row r="21" spans="1:6" ht="357">
      <c r="A21" s="113" t="s">
        <v>128</v>
      </c>
      <c r="B21" s="113" t="s">
        <v>129</v>
      </c>
      <c r="C21" s="113" t="s">
        <v>70</v>
      </c>
      <c r="D21" s="113" t="s">
        <v>130</v>
      </c>
      <c r="E21" s="113" t="s">
        <v>131</v>
      </c>
      <c r="F21" s="113" t="s">
        <v>58</v>
      </c>
    </row>
    <row r="22" spans="1:6" ht="89.25">
      <c r="A22" s="113" t="s">
        <v>132</v>
      </c>
      <c r="B22" s="113" t="s">
        <v>133</v>
      </c>
      <c r="C22" s="113" t="s">
        <v>134</v>
      </c>
      <c r="D22" s="113" t="s">
        <v>135</v>
      </c>
      <c r="E22" s="113" t="s">
        <v>136</v>
      </c>
      <c r="F22" s="113" t="s">
        <v>81</v>
      </c>
    </row>
    <row r="23" spans="1:6" ht="76.5">
      <c r="A23" s="113" t="s">
        <v>137</v>
      </c>
      <c r="B23" s="113" t="s">
        <v>138</v>
      </c>
      <c r="C23" s="113" t="s">
        <v>134</v>
      </c>
      <c r="D23" s="113" t="s">
        <v>139</v>
      </c>
      <c r="E23" s="113" t="s">
        <v>140</v>
      </c>
      <c r="F23" s="113" t="s">
        <v>81</v>
      </c>
    </row>
    <row r="24" spans="1:6" ht="153">
      <c r="A24" s="113" t="s">
        <v>141</v>
      </c>
      <c r="B24" s="113" t="s">
        <v>142</v>
      </c>
      <c r="C24" s="113" t="s">
        <v>143</v>
      </c>
      <c r="D24" s="113" t="s">
        <v>144</v>
      </c>
      <c r="E24" s="113" t="s">
        <v>145</v>
      </c>
      <c r="F24" s="113" t="s">
        <v>81</v>
      </c>
    </row>
    <row r="25" spans="1:6" ht="102">
      <c r="A25" s="113" t="s">
        <v>146</v>
      </c>
      <c r="B25" s="113" t="s">
        <v>147</v>
      </c>
      <c r="C25" s="113" t="s">
        <v>70</v>
      </c>
      <c r="D25" s="113" t="s">
        <v>148</v>
      </c>
      <c r="E25" s="113" t="s">
        <v>149</v>
      </c>
      <c r="F25" s="113" t="s">
        <v>119</v>
      </c>
    </row>
    <row r="26" spans="1:6" ht="165.75">
      <c r="A26" s="113" t="s">
        <v>150</v>
      </c>
      <c r="B26" s="113" t="s">
        <v>151</v>
      </c>
      <c r="C26" s="113" t="s">
        <v>70</v>
      </c>
      <c r="D26" s="113" t="s">
        <v>152</v>
      </c>
      <c r="E26" s="113" t="s">
        <v>153</v>
      </c>
      <c r="F26" s="113" t="s">
        <v>119</v>
      </c>
    </row>
    <row r="27" spans="1:6" ht="140.25">
      <c r="A27" s="113" t="s">
        <v>154</v>
      </c>
      <c r="B27" s="113" t="s">
        <v>155</v>
      </c>
      <c r="C27" s="113" t="s">
        <v>70</v>
      </c>
      <c r="D27" s="113" t="s">
        <v>156</v>
      </c>
      <c r="E27" s="113" t="s">
        <v>157</v>
      </c>
      <c r="F27" s="113" t="s">
        <v>119</v>
      </c>
    </row>
    <row r="28" spans="1:6" ht="38.25">
      <c r="A28" s="113" t="s">
        <v>158</v>
      </c>
      <c r="B28" s="113" t="s">
        <v>159</v>
      </c>
      <c r="C28" s="113" t="s">
        <v>55</v>
      </c>
      <c r="D28" s="113" t="s">
        <v>160</v>
      </c>
      <c r="E28" s="113" t="s">
        <v>161</v>
      </c>
      <c r="F28" s="113" t="s">
        <v>58</v>
      </c>
    </row>
  </sheetData>
  <sheetProtection selectLockedCells="1"/>
  <mergeCells count="3">
    <mergeCell ref="A1:G1"/>
    <mergeCell ref="I2:L2"/>
    <mergeCell ref="A2:H2"/>
  </mergeCells>
  <conditionalFormatting sqref="A29:E1048576 G5:G7 G11:G77 G78:H1048576">
    <cfRule type="expression" dxfId="2" priority="5">
      <formula>#REF!="rejected"</formula>
    </cfRule>
  </conditionalFormatting>
  <conditionalFormatting sqref="A4:E28">
    <cfRule type="expression" dxfId="1" priority="2">
      <formula>#REF!="rejected"</formula>
    </cfRule>
  </conditionalFormatting>
  <conditionalFormatting sqref="F11:F1048576">
    <cfRule type="expression" dxfId="0" priority="1">
      <formula>#REF!="rejected"</formula>
    </cfRule>
  </conditionalFormatting>
  <dataValidations count="3">
    <dataValidation type="list" allowBlank="1" showInputMessage="1" showErrorMessage="1" sqref="H1" xr:uid="{00000000-0002-0000-0200-000000000000}">
      <formula1>"Functional, External Interface, User Interface,System Interface, Non functional"</formula1>
    </dataValidation>
    <dataValidation type="list" allowBlank="1" showInputMessage="1" showErrorMessage="1" sqref="H4:H77 L4:L76" xr:uid="{00000000-0002-0000-0200-000001000000}">
      <formula1>"1,2,3,5,8,13,21"</formula1>
    </dataValidation>
    <dataValidation type="list" allowBlank="1" showInputMessage="1" showErrorMessage="1" sqref="I4:I84" xr:uid="{00000000-0002-0000-0200-000002000000}">
      <formula1>"Yes,No"</formula1>
    </dataValidation>
  </dataValidations>
  <pageMargins left="0.7" right="0.7" top="0.75" bottom="0.75" header="0.3" footer="0.3"/>
  <pageSetup paperSize="9" orientation="portrait" r:id="rId1"/>
  <drawing r:id="rId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9"/>
  <sheetViews>
    <sheetView workbookViewId="0">
      <selection activeCell="C8" sqref="C8"/>
    </sheetView>
  </sheetViews>
  <sheetFormatPr defaultColWidth="8.85546875" defaultRowHeight="12.75"/>
  <cols>
    <col min="1" max="1" width="8.85546875" style="49"/>
    <col min="2" max="2" width="10.85546875" style="49" bestFit="1" customWidth="1"/>
    <col min="3" max="3" width="9.42578125" style="49" bestFit="1" customWidth="1"/>
    <col min="4" max="4" width="12.42578125" style="49" customWidth="1"/>
    <col min="5" max="5" width="11.140625" style="49" customWidth="1"/>
    <col min="6" max="7" width="8.85546875" style="50"/>
    <col min="8" max="16384" width="8.85546875" style="49"/>
  </cols>
  <sheetData>
    <row r="1" spans="1:7" ht="25.5">
      <c r="A1" s="48" t="s">
        <v>162</v>
      </c>
    </row>
    <row r="2" spans="1:7">
      <c r="A2" s="106" t="s">
        <v>163</v>
      </c>
      <c r="B2" s="106"/>
      <c r="C2" s="106"/>
      <c r="D2" s="106"/>
    </row>
    <row r="4" spans="1:7" ht="15" customHeight="1">
      <c r="A4" s="107" t="s">
        <v>26</v>
      </c>
      <c r="B4" s="109" t="s">
        <v>164</v>
      </c>
      <c r="C4" s="109"/>
      <c r="D4" s="109"/>
      <c r="E4" s="110" t="s">
        <v>45</v>
      </c>
      <c r="F4" s="104" t="s">
        <v>165</v>
      </c>
      <c r="G4" s="104" t="s">
        <v>166</v>
      </c>
    </row>
    <row r="5" spans="1:7" ht="13.5" thickBot="1">
      <c r="A5" s="108"/>
      <c r="B5" s="58" t="s">
        <v>167</v>
      </c>
      <c r="C5" s="58" t="s">
        <v>30</v>
      </c>
      <c r="D5" s="58" t="s">
        <v>43</v>
      </c>
      <c r="E5" s="111"/>
      <c r="F5" s="105"/>
      <c r="G5" s="105"/>
    </row>
    <row r="6" spans="1:7">
      <c r="A6" s="52">
        <v>1</v>
      </c>
      <c r="B6" s="53">
        <v>100</v>
      </c>
      <c r="C6" s="54">
        <v>75</v>
      </c>
      <c r="D6" s="49">
        <v>0</v>
      </c>
      <c r="E6" s="51" t="str">
        <f t="shared" ref="E6:E7" si="0">ROUND((C6/(C6 +B6))*100,0) &amp; "%"</f>
        <v>43%</v>
      </c>
      <c r="F6" s="50">
        <f>-D6</f>
        <v>0</v>
      </c>
      <c r="G6" s="50">
        <f>B6-D6</f>
        <v>100</v>
      </c>
    </row>
    <row r="7" spans="1:7">
      <c r="A7" s="52">
        <v>2</v>
      </c>
      <c r="B7" s="53">
        <v>170</v>
      </c>
      <c r="C7" s="53">
        <v>150</v>
      </c>
      <c r="D7" s="49">
        <f t="shared" ref="D7" si="1">((B7+C7)-(B6+C6)+D6)</f>
        <v>145</v>
      </c>
      <c r="E7" s="51" t="str">
        <f t="shared" si="0"/>
        <v>47%</v>
      </c>
      <c r="F7" s="50">
        <f>-D7</f>
        <v>-145</v>
      </c>
      <c r="G7" s="50">
        <f>B7-D7</f>
        <v>25</v>
      </c>
    </row>
    <row r="8" spans="1:7">
      <c r="A8" s="52">
        <v>3</v>
      </c>
      <c r="B8" s="53">
        <v>190</v>
      </c>
      <c r="C8" s="53">
        <v>120</v>
      </c>
      <c r="D8" s="49">
        <f t="shared" ref="D8" si="2">((B8+C8)-(B7+C7)+D7)</f>
        <v>135</v>
      </c>
      <c r="E8" s="51" t="str">
        <f t="shared" ref="E8" si="3">ROUND((C8/(C8 +B8))*100,0) &amp; "%"</f>
        <v>39%</v>
      </c>
      <c r="F8" s="50">
        <f>-D8</f>
        <v>-135</v>
      </c>
      <c r="G8" s="50">
        <f>B8-D8</f>
        <v>55</v>
      </c>
    </row>
    <row r="28" spans="3:3">
      <c r="C28" s="49" t="s">
        <v>168</v>
      </c>
    </row>
    <row r="29" spans="3:3">
      <c r="C29" s="49" t="s">
        <v>169</v>
      </c>
    </row>
  </sheetData>
  <sheetProtection selectLockedCells="1"/>
  <mergeCells count="6">
    <mergeCell ref="G4:G5"/>
    <mergeCell ref="A2:D2"/>
    <mergeCell ref="A4:A5"/>
    <mergeCell ref="B4:D4"/>
    <mergeCell ref="E4:E5"/>
    <mergeCell ref="F4:F5"/>
  </mergeCells>
  <dataValidations count="1">
    <dataValidation type="list" allowBlank="1" showInputMessage="1" showErrorMessage="1" sqref="E28" xr:uid="{00000000-0002-0000-0300-000000000000}">
      <formula1>$C$28:$C$30</formula1>
    </dataValidation>
  </dataValidations>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election activeCell="G29" sqref="G29"/>
    </sheetView>
  </sheetViews>
  <sheetFormatPr defaultColWidth="11.42578125" defaultRowHeight="15"/>
  <sheetData>
    <row r="1" spans="1:1">
      <c r="A1">
        <v>0</v>
      </c>
    </row>
    <row r="2" spans="1:1">
      <c r="A2">
        <v>5</v>
      </c>
    </row>
    <row r="3" spans="1:1">
      <c r="A3">
        <v>10</v>
      </c>
    </row>
    <row r="4" spans="1:1">
      <c r="A4">
        <v>20</v>
      </c>
    </row>
    <row r="5" spans="1:1">
      <c r="A5">
        <v>30</v>
      </c>
    </row>
    <row r="6" spans="1:1">
      <c r="A6">
        <v>50</v>
      </c>
    </row>
    <row r="7" spans="1:1">
      <c r="A7">
        <v>80</v>
      </c>
    </row>
    <row r="8" spans="1:1">
      <c r="A8">
        <v>130</v>
      </c>
    </row>
    <row r="9" spans="1:1">
      <c r="A9">
        <v>200</v>
      </c>
    </row>
    <row r="10" spans="1:1">
      <c r="A10">
        <v>400</v>
      </c>
    </row>
    <row r="11" spans="1:1">
      <c r="A11">
        <v>1000</v>
      </c>
    </row>
  </sheetData>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2" ma:contentTypeDescription="Create a new document." ma:contentTypeScope="" ma:versionID="11ad66446dc32c3b807414097220c56d">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9337801316215d934d3adce979b41d8d"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34120A1-077A-4A4B-8316-A6BE4A1FFAA5}"/>
</file>

<file path=customXml/itemProps2.xml><?xml version="1.0" encoding="utf-8"?>
<ds:datastoreItem xmlns:ds="http://schemas.openxmlformats.org/officeDocument/2006/customXml" ds:itemID="{4C0C9F9C-98B5-480F-B2D6-CAE7CFAF0133}"/>
</file>

<file path=customXml/itemProps3.xml><?xml version="1.0" encoding="utf-8"?>
<ds:datastoreItem xmlns:ds="http://schemas.openxmlformats.org/officeDocument/2006/customXml" ds:itemID="{8575168F-6331-41DA-B879-8152475B9854}"/>
</file>

<file path=docProps/app.xml><?xml version="1.0" encoding="utf-8"?>
<Properties xmlns="http://schemas.openxmlformats.org/officeDocument/2006/extended-properties" xmlns:vt="http://schemas.openxmlformats.org/officeDocument/2006/docPropsVTypes">
  <Application>Microsoft Excel Online</Application>
  <Manager/>
  <Company>NPS Limited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Heasley</dc:creator>
  <cp:keywords/>
  <dc:description/>
  <cp:lastModifiedBy>Guruswamy, Manonmani (Cognizant)</cp:lastModifiedBy>
  <cp:revision/>
  <dcterms:created xsi:type="dcterms:W3CDTF">2014-04-10T04:38:41Z</dcterms:created>
  <dcterms:modified xsi:type="dcterms:W3CDTF">2020-04-29T07:52:04Z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ies>
</file>